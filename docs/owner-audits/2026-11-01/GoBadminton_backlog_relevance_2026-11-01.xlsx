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140ab10cb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4bbcc8106134a2d"/>
    <x:sheet xmlns:r="http://schemas.openxmlformats.org/officeDocument/2006/relationships" name="Актуальное" sheetId="2" r:id="Rba11fdae23994e72"/>
    <x:sheet xmlns:r="http://schemas.openxmlformats.org/officeDocument/2006/relationships" name="CLEAN 124" sheetId="3" r:id="Rf5a1872ee2a24472"/>
    <x:sheet xmlns:r="http://schemas.openxmlformats.org/officeDocument/2006/relationships" name="Legacy GB 142" sheetId="4" r:id="Radf8a8f8d3e145c2"/>
    <x:sheet xmlns:r="http://schemas.openxmlformats.org/officeDocument/2006/relationships" name="Срез 22.10" sheetId="5" r:id="R50198ed9cce04e07"/>
    <x:sheet xmlns:r="http://schemas.openxmlformats.org/officeDocument/2006/relationships" name="OPEN PR 52" sheetId="6" r:id="R990c42838de146bb"/>
    <x:sheet xmlns:r="http://schemas.openxmlformats.org/officeDocument/2006/relationships" name="Очистка" sheetId="7" r:id="R5da90a43d69541e7"/>
    <x:sheet xmlns:r="http://schemas.openxmlformats.org/officeDocument/2006/relationships" name="Метод и источники" sheetId="8" r:id="R574c50915560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1"/>
      <x:name val="Aptos"/>
    </x:font>
    <x:font>
      <x:b/>
      <x:sz val="20"/>
      <x:color rgb="FFFFFFFF"/>
      <x:name val="Aptos"/>
    </x:font>
    <x:font>
      <x:sz val="10"/>
      <x:color rgb="FF65798A"/>
      <x:name val="Aptos"/>
    </x:font>
    <x:font>
      <x:b/>
      <x:sz val="10"/>
      <x:color rgb="FF126A6A"/>
      <x:name val="Aptos"/>
    </x:font>
    <x:font>
      <x:b/>
      <x:sz val="25"/>
      <x:color rgb="FF17324D"/>
      <x:name val="Aptos"/>
    </x:font>
    <x:font>
      <x:b/>
      <x:sz val="18"/>
      <x:color rgb="FFFFFFFF"/>
      <x:name val="Carlito"/>
    </x:font>
    <x:font>
      <x:sz val="10"/>
      <x:color rgb="FF65798A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sz val="10"/>
      <x:color rgb="FF20364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3F1"/>
      </x:patternFill>
    </x:fill>
    <x:fill>
      <x:patternFill patternType="solid">
        <x:fgColor rgb="FFF3F6F8"/>
      </x:patternFill>
    </x:fill>
    <x:fill>
      <x:patternFill patternType="solid">
        <x:fgColor rgb="FF126A6A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0" fillId="5" borderId="0" xfId="0" applyNumberFormat="1" applyFont="1" applyFill="1" applyBorder="1"/>
    <x:xf numFmtId="0" fontId="1" fillId="5" borderId="1" xfId="0" applyNumberFormat="1" applyFont="1" applyFill="1" applyBorder="1"/>
    <x:xf numFmtId="0" fontId="10" fillId="5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7420377634114" /><Relationship Type="http://schemas.openxmlformats.org/officeDocument/2006/relationships/theme" Target="/xl/theme/theme1.xml" Id="Rf014693be984460e" /><Relationship Type="http://schemas.openxmlformats.org/officeDocument/2006/relationships/sharedStrings" Target="/xl/sharedStrings.xml" Id="Rbf5e5aec21b941c2" /><Relationship Type="http://schemas.openxmlformats.org/officeDocument/2006/relationships/worksheet" Target="/xl/worksheets/sheet1.xml" Id="Rb4bbcc8106134a2d" /><Relationship Type="http://schemas.openxmlformats.org/officeDocument/2006/relationships/worksheet" Target="/xl/worksheets/sheet2.xml" Id="Rba11fdae23994e72" /><Relationship Type="http://schemas.openxmlformats.org/officeDocument/2006/relationships/worksheet" Target="/xl/worksheets/sheet3.xml" Id="Rf5a1872ee2a24472" /><Relationship Type="http://schemas.openxmlformats.org/officeDocument/2006/relationships/worksheet" Target="/xl/worksheets/sheet4.xml" Id="Radf8a8f8d3e145c2" /><Relationship Type="http://schemas.openxmlformats.org/officeDocument/2006/relationships/worksheet" Target="/xl/worksheets/sheet5.xml" Id="R50198ed9cce04e07" /><Relationship Type="http://schemas.openxmlformats.org/officeDocument/2006/relationships/worksheet" Target="/xl/worksheets/sheet6.xml" Id="R990c42838de146bb" /><Relationship Type="http://schemas.openxmlformats.org/officeDocument/2006/relationships/worksheet" Target="/xl/worksheets/sheet7.xml" Id="R5da90a43d69541e7" /><Relationship Type="http://schemas.openxmlformats.org/officeDocument/2006/relationships/worksheet" Target="/xl/worksheets/sheet8.xml" Id="R574c509155604ecb" /></Relationships>
</file>

<file path=xl/tables/table1.xml><?xml version="1.0" encoding="utf-8"?>
<x:table xmlns:x="http://schemas.openxmlformats.org/spreadsheetml/2006/main" id="1" name="ActiveDirections" displayName="ActiveDirections" ref="A5:K22" headerRowCount="1" totalsRowCount="0" totalsRowShown="0">
  <x:tableColumns count="11">
    <x:tableColumn id="1" name="ID"/>
    <x:tableColumn id="2" name="Тип"/>
    <x:tableColumn id="3" name="Приоритет"/>
    <x:tableColumn id="4" name="Актуальное направление"/>
    <x:tableColumn id="5" name="Связанные задачи"/>
    <x:tableColumn id="6" name="Что реально есть"/>
    <x:tableColumn id="7" name="Следующий конкретный шаг"/>
    <x:tableColumn id="8" name="Критерий завершения"/>
    <x:tableColumn id="9" name="Источник"/>
    <x:tableColumn id="10" name="Чего НЕ делать"/>
    <x:tableColumn id="11" name="Решение 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IssueReview" displayName="CleanIssueReview" ref="A5:J129" headerRowCount="1" totalsRowCount="0" totalsRowShown="0">
  <x:tableColumns count="10">
    <x:tableColumn id="1" name="Issue"/>
    <x:tableColumn id="2" name="Краткий смысл"/>
    <x:tableColumn id="3" name="GitHub"/>
    <x:tableColumn id="4" name="Рекомендуемая судьба"/>
    <x:tableColumn id="5" name="Куда перенести остаток"/>
    <x:tableColumn id="6" name="Основание / ограничение"/>
    <x:tableColumn id="7" name="PR / ключевые evidence"/>
    <x:tableColumn id="8" name="Каноническая Issue"/>
    <x:tableColumn id="9" name="Уверенность / граница"/>
    <x:tableColumn id="10" name="Решение 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gacyCrosswalk" displayName="LegacyCrosswalk" ref="A5:G147" headerRowCount="1" totalsRowCount="0" totalsRowShown="0">
  <x:tableColumns count="7">
    <x:tableColumn id="1" name="Legacy ID"/>
    <x:tableColumn id="2" name="Исходное требование"/>
    <x:tableColumn id="3" name="Актуальность"/>
    <x:tableColumn id="4" name="Канонический остаток"/>
    <x:tableColumn id="5" name="Почему / что проверить"/>
    <x:tableColumn id="6" name="Текущий источник"/>
    <x:tableColumn id="7" name="Архивный реест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ctoberSnapshot" displayName="OctoberSnapshot" ref="A5:F38" headerRowCount="1" totalsRowCount="0" totalsRowShown="0">
  <x:tableColumns count="6">
    <x:tableColumn id="1" name="Старый код"/>
    <x:tableColumn id="2" name="Issue/носитель"/>
    <x:tableColumn id="3" name="Смысл"/>
    <x:tableColumn id="4" name="Текущая судьба"/>
    <x:tableColumn id="5" name="Куда относится"/>
    <x:tableColumn id="6" name="Ограниче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nPullRequests" displayName="OpenPullRequests" ref="A5:F57" headerRowCount="1" totalsRowCount="0" totalsRowShown="0">
  <x:tableColumns count="6">
    <x:tableColumn id="1" name="PR"/>
    <x:tableColumn id="2" name="Краткий смысл"/>
    <x:tableColumn id="3" name="Состояние GitHub"/>
    <x:tableColumn id="4" name="Рекомендация"/>
    <x:tableColumn id="5" name="Основание / следующий шаг"/>
    <x:tableColumn id="6" name="Ссылк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eanupRules" displayName="CleanupRules" ref="A5:C17" headerRowCount="1" totalsRowCount="0" totalsRowShown="0">
  <x:tableColumns count="3">
    <x:tableColumn id="1" name="Шаг"/>
    <x:tableColumn id="2" name="Правило"/>
    <x:tableColumn id="3" name="Что сделат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ditNotes" displayName="AuditNotes" ref="A5:B18" headerRowCount="1" totalsRowCount="0" totalsRowShown="0">
  <x:tableColumns count="2">
    <x:tableColumn id="1" name="Область"/>
    <x:tableColumn id="2" name="Содерж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46cadeb5b54b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dabff9fdbd49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de9bedcae14e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19af45369540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1e24b21a1d4a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51c861975e4c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cede7521484cad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6" t="str">
        <x:v>GoBadminton · матрица актуальности</x:v>
      </x:c>
      <x:c r="B1" s="6"/>
      <x:c r="C1" s="6"/>
      <x:c r="D1" s="6"/>
      <x:c r="E1" s="6"/>
      <x:c r="F1" s="6"/>
      <x:c r="G1" s="6"/>
      <x:c r="H1" s="6"/>
    </x:row>
    <x:row r="2" ht="23" customHeight="1">
      <x:c r="A2" s="6"/>
      <x:c r="B2" s="6"/>
      <x:c r="C2" s="6"/>
      <x:c r="D2" s="6"/>
      <x:c r="E2" s="6"/>
      <x:c r="F2" s="6"/>
      <x:c r="G2" s="6"/>
      <x:c r="H2" s="6"/>
    </x:row>
    <x:row r="3" ht="25" customHeight="1">
      <x:c r="A3" s="10" t="str">
        <x:v>01.11.2026 · read-only аудит · рекомендации НЕ применены к GitHub и runtime</x:v>
      </x:c>
      <x:c r="B3" s="10"/>
      <x:c r="C3" s="10"/>
      <x:c r="D3" s="10"/>
      <x:c r="E3" s="10"/>
      <x:c r="F3" s="10"/>
      <x:c r="G3" s="10"/>
      <x:c r="H3" s="10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3" customHeight="1">
      <x:c r="A5" s="14" t="str">
        <x:v>CLEAN ISSUES</x:v>
      </x:c>
      <x:c r="B5" s="14"/>
      <x:c r="C5" s="14" t="str">
        <x:v>СЕЙЧАС OPEN</x:v>
      </x:c>
      <x:c r="D5" s="14"/>
      <x:c r="E5" s="14" t="str">
        <x:v>ВЫПУЩЕННЫЙ ОБЪЁМ</x:v>
      </x:c>
      <x:c r="F5" s="14"/>
      <x:c r="G5" s="14" t="str">
        <x:v>ТЕКУЩИЕ НОСИТЕЛИ</x:v>
      </x:c>
      <x:c r="H5" s="14"/>
    </x:row>
    <x:row r="6" ht="23" customHeight="1">
      <x:c r="A6" s="21" t="n">
        <x:f>COUNTA('CLEAN 124'!A6:A129)</x:f>
        <x:v>124</x:v>
      </x:c>
      <x:c r="B6" s="21"/>
      <x:c r="C6" s="21" t="n">
        <x:f>COUNTIF('CLEAN 124'!C6:C129,"OPEN")</x:f>
        <x:v>109</x:v>
      </x:c>
      <x:c r="D6" s="21"/>
      <x:c r="E6" s="21" t="n">
        <x:f>COUNTIF('CLEAN 124'!D6:D129,"Технически выпущена")</x:f>
        <x:v>60</x:v>
      </x:c>
      <x:c r="F6" s="21"/>
      <x:c r="G6" s="21" t="n">
        <x:f>COUNTIF('CLEAN 124'!D6:D129,"Актуальный остаток")+COUNTIF('CLEAN 124'!D6:D129,"Проверка и точечный остаток")+COUNTIF('CLEAN 124'!D6:D129,"Однократная сверка учёта")</x:f>
        <x:v>10</x:v>
      </x:c>
      <x:c r="H6" s="21"/>
    </x:row>
    <x:row r="7" ht="23" customHeight="1">
      <x:c r="A7" s="21"/>
      <x:c r="B7" s="21"/>
      <x:c r="C7" s="21"/>
      <x:c r="D7" s="21"/>
      <x:c r="E7" s="21"/>
      <x:c r="F7" s="21"/>
      <x:c r="G7" s="21"/>
      <x:c r="H7" s="21"/>
    </x:row>
    <x:row r="8" ht="23" customHeight="1">
      <x:c r="A8" s="2"/>
      <x:c r="B8" s="2"/>
      <x:c r="C8" s="2"/>
      <x:c r="D8" s="2"/>
      <x:c r="E8" s="2"/>
      <x:c r="F8" s="2"/>
      <x:c r="G8" s="2"/>
      <x:c r="H8" s="2"/>
    </x:row>
    <x:row r="9" ht="23" customHeight="1">
      <x:c r="A9" s="49" t="str">
        <x:v>Рекомендуемая судьба карточек</x:v>
      </x:c>
      <x:c r="B9" s="49"/>
      <x:c r="C9" s="49"/>
      <x:c r="D9" s="49"/>
      <x:c r="E9" s="49"/>
      <x:c r="F9" s="49"/>
      <x:c r="G9" s="49" t="str">
        <x:v>Всего</x:v>
      </x:c>
      <x:c r="H9" s="49" t="str">
        <x:v>OPEN</x:v>
      </x:c>
    </x:row>
    <x:row r="10" ht="23" customHeight="1">
      <x:c r="A10" s="18" t="str">
        <x:v>Актуальный остаток</x:v>
      </x:c>
      <x:c r="B10" s="18"/>
      <x:c r="C10" s="18"/>
      <x:c r="D10" s="18"/>
      <x:c r="E10" s="18"/>
      <x:c r="F10" s="18"/>
      <x:c r="G10" s="54" t="n">
        <x:f>COUNTIF('CLEAN 124'!$D$6:$D$129,A10)</x:f>
        <x:v>5</x:v>
      </x:c>
      <x:c r="H10" s="54" t="n">
        <x:f>COUNTIFS('CLEAN 124'!$D$6:$D$129,A10,'CLEAN 124'!$C$6:$C$129,"OPEN")</x:f>
        <x:v>5</x:v>
      </x:c>
    </x:row>
    <x:row r="11" ht="23" customHeight="1">
      <x:c r="A11" s="2" t="str">
        <x:v>Проверка и точечный остаток</x:v>
      </x:c>
      <x:c r="B11" s="2"/>
      <x:c r="C11" s="2"/>
      <x:c r="D11" s="2"/>
      <x:c r="E11" s="2"/>
      <x:c r="F11" s="2"/>
      <x:c r="G11" s="52" t="n">
        <x:f>COUNTIF('CLEAN 124'!$D$6:$D$129,A11)</x:f>
        <x:v>4</x:v>
      </x:c>
      <x:c r="H11" s="52" t="n">
        <x:f>COUNTIFS('CLEAN 124'!$D$6:$D$129,A11,'CLEAN 124'!$C$6:$C$129,"OPEN")</x:f>
        <x:v>4</x:v>
      </x:c>
    </x:row>
    <x:row r="12" ht="23" customHeight="1">
      <x:c r="A12" s="18" t="str">
        <x:v>Однократная сверка учёта</x:v>
      </x:c>
      <x:c r="B12" s="18"/>
      <x:c r="C12" s="18"/>
      <x:c r="D12" s="18"/>
      <x:c r="E12" s="18"/>
      <x:c r="F12" s="18"/>
      <x:c r="G12" s="54" t="n">
        <x:f>COUNTIF('CLEAN 124'!$D$6:$D$129,A12)</x:f>
        <x:v>1</x:v>
      </x:c>
      <x:c r="H12" s="54" t="n">
        <x:f>COUNTIFS('CLEAN 124'!$D$6:$D$129,A12,'CLEAN 124'!$C$6:$C$129,"OPEN")</x:f>
        <x:v>1</x:v>
      </x:c>
    </x:row>
    <x:row r="13" ht="23" customHeight="1">
      <x:c r="A13" s="2" t="str">
        <x:v>Технически выпущена</x:v>
      </x:c>
      <x:c r="B13" s="2"/>
      <x:c r="C13" s="2"/>
      <x:c r="D13" s="2"/>
      <x:c r="E13" s="2"/>
      <x:c r="F13" s="2"/>
      <x:c r="G13" s="52" t="n">
        <x:f>COUNTIF('CLEAN 124'!$D$6:$D$129,A13)</x:f>
        <x:v>60</x:v>
      </x:c>
      <x:c r="H13" s="52" t="n">
        <x:f>COUNTIFS('CLEAN 124'!$D$6:$D$129,A13,'CLEAN 124'!$C$6:$C$129,"OPEN")</x:f>
        <x:v>60</x:v>
      </x:c>
    </x:row>
    <x:row r="14" ht="23" customHeight="1">
      <x:c r="A14" s="18" t="str">
        <x:v>Заменена — свернуть</x:v>
      </x:c>
      <x:c r="B14" s="18"/>
      <x:c r="C14" s="18"/>
      <x:c r="D14" s="18"/>
      <x:c r="E14" s="18"/>
      <x:c r="F14" s="18"/>
      <x:c r="G14" s="54" t="n">
        <x:f>COUNTIF('CLEAN 124'!$D$6:$D$129,A14)</x:f>
        <x:v>14</x:v>
      </x:c>
      <x:c r="H14" s="54" t="n">
        <x:f>COUNTIFS('CLEAN 124'!$D$6:$D$129,A14,'CLEAN 124'!$C$6:$C$129,"OPEN")</x:f>
        <x:v>14</x:v>
      </x:c>
    </x:row>
    <x:row r="15" ht="23" customHeight="1">
      <x:c r="A15" s="2" t="str">
        <x:v>История — не возобновлять</x:v>
      </x:c>
      <x:c r="B15" s="2"/>
      <x:c r="C15" s="2"/>
      <x:c r="D15" s="2"/>
      <x:c r="E15" s="2"/>
      <x:c r="F15" s="2"/>
      <x:c r="G15" s="52" t="n">
        <x:f>COUNTIF('CLEAN 124'!$D$6:$D$129,A15)</x:f>
        <x:v>14</x:v>
      </x:c>
      <x:c r="H15" s="52" t="n">
        <x:f>COUNTIFS('CLEAN 124'!$D$6:$D$129,A15,'CLEAN 124'!$C$6:$C$129,"OPEN")</x:f>
        <x:v>14</x:v>
      </x:c>
    </x:row>
    <x:row r="16" ht="23" customHeight="1">
      <x:c r="A16" s="18" t="str">
        <x:v>Парковка OPS</x:v>
      </x:c>
      <x:c r="B16" s="18"/>
      <x:c r="C16" s="18"/>
      <x:c r="D16" s="18"/>
      <x:c r="E16" s="18"/>
      <x:c r="F16" s="18"/>
      <x:c r="G16" s="54" t="n">
        <x:f>COUNTIF('CLEAN 124'!$D$6:$D$129,A16)</x:f>
        <x:v>11</x:v>
      </x:c>
      <x:c r="H16" s="54" t="n">
        <x:f>COUNTIFS('CLEAN 124'!$D$6:$D$129,A16,'CLEAN 124'!$C$6:$C$129,"OPEN")</x:f>
        <x:v>11</x:v>
      </x:c>
    </x:row>
    <x:row r="17" ht="23" customHeight="1">
      <x:c r="A17" s="2" t="str">
        <x:v>Уже закрыта — архив</x:v>
      </x:c>
      <x:c r="B17" s="2"/>
      <x:c r="C17" s="2"/>
      <x:c r="D17" s="2"/>
      <x:c r="E17" s="2"/>
      <x:c r="F17" s="2"/>
      <x:c r="G17" s="52" t="n">
        <x:f>COUNTIF('CLEAN 124'!$D$6:$D$129,A17)</x:f>
        <x:v>15</x:v>
      </x:c>
      <x:c r="H17" s="52" t="n">
        <x:f>COUNTIFS('CLEAN 124'!$D$6:$D$129,A17,'CLEAN 124'!$C$6:$C$129,"OPEN")</x:f>
        <x:v>0</x:v>
      </x:c>
    </x:row>
    <x:row r="18" ht="23" customHeight="1">
      <x:c r="A18" s="56" t="str">
        <x:v>ИТОГО</x:v>
      </x:c>
      <x:c r="B18" s="56"/>
      <x:c r="C18" s="56"/>
      <x:c r="D18" s="56"/>
      <x:c r="E18" s="56"/>
      <x:c r="F18" s="56"/>
      <x:c r="G18" s="56" t="n">
        <x:f>SUM(G10:G17)</x:f>
        <x:v>124</x:v>
      </x:c>
      <x:c r="H18" s="56" t="n">
        <x:f>SUM(H10:H17)</x:f>
        <x:v>109</x:v>
      </x:c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35" customHeight="1">
      <x:c r="A20" s="60" t="str">
        <x:v>Не запускать заново: принятые Friends, карты, обложки, API/Admin площадок, галерею, PG1a/1b/2, SMTP DEV.</x:v>
      </x:c>
      <x:c r="B20" s="60"/>
      <x:c r="C20" s="60"/>
      <x:c r="D20" s="60"/>
      <x:c r="E20" s="60"/>
      <x:c r="F20" s="60"/>
      <x:c r="G20" s="60"/>
      <x:c r="H20" s="60"/>
    </x:row>
    <x:row r="21" ht="35" customHeight="1">
      <x:c r="A21" s="60" t="str">
        <x:v>Продолжить: PG3 из сохранённого 4c020d8, затем PG4; договорённость о корте; содержание площадок; согласованные комментарии.</x:v>
      </x:c>
      <x:c r="B21" s="60"/>
      <x:c r="C21" s="60"/>
      <x:c r="D21" s="60"/>
      <x:c r="E21" s="60"/>
      <x:c r="F21" s="60"/>
      <x:c r="G21" s="60"/>
      <x:c r="H21" s="60"/>
    </x:row>
    <x:row r="22" ht="35" customHeight="1">
      <x:c r="A22" s="60" t="str">
        <x:v>Проверить, а не чинить вслепую: синтетический directory OFF в bio; ожидаемый trainer404; чужой game-chat404.</x:v>
      </x:c>
      <x:c r="B22" s="60"/>
      <x:c r="C22" s="60"/>
      <x:c r="D22" s="60"/>
      <x:c r="E22" s="60"/>
      <x:c r="F22" s="60"/>
      <x:c r="G22" s="60"/>
      <x:c r="H22" s="60"/>
    </x:row>
    <x:row r="23" ht="35" customHeight="1">
      <x:c r="A23" s="60" t="str">
        <x:v>Уже разрешено: комментарии после Postgame; фотографии портала/клубов в подтверждённом Owner-объёме #422.</x:v>
      </x:c>
      <x:c r="B23" s="60"/>
      <x:c r="C23" s="60"/>
      <x:c r="D23" s="60"/>
      <x:c r="E23" s="60"/>
      <x:c r="F23" s="60"/>
      <x:c r="G23" s="60"/>
      <x:c r="H23" s="60"/>
    </x:row>
    <x:row r="24" ht="35" customHeight="1">
      <x:c r="A24" s="60" t="str">
        <x:v>60 технически выпущенных карточек + 14 заменённых + 14 исторических — кандидаты на вывод из активного контекста.</x:v>
      </x:c>
      <x:c r="B24" s="60"/>
      <x:c r="C24" s="60"/>
      <x:c r="D24" s="60"/>
      <x:c r="E24" s="60"/>
      <x:c r="F24" s="60"/>
      <x:c r="G24" s="60"/>
      <x:c r="H24" s="60"/>
    </x:row>
    <x:row r="25" ht="35" customHeight="1">
      <x:c r="A25" s="60" t="str">
        <x:v>11 OPS — парковка, не DONE. 15 Issue уже закрыты. 10 текущих носителей включают 5 родителей с остатком, 4 проверки, 1 учёт.</x:v>
      </x:c>
      <x:c r="B25" s="60"/>
      <x:c r="C25" s="60"/>
      <x:c r="D25" s="60"/>
      <x:c r="E25" s="60"/>
      <x:c r="F25" s="60"/>
      <x:c r="G25" s="60"/>
      <x:c r="H25" s="60"/>
    </x:row>
    <x:row r="26" ht="35" customHeight="1">
      <x:c r="A26" s="60" t="str">
        <x:v>DEV alpha.10 • 1dc50002 | PROD alpha.8 • 26f3ba38. Продвижение кода не включает feature flags автоматически.</x:v>
      </x:c>
      <x:c r="B26" s="60"/>
      <x:c r="C26" s="60"/>
      <x:c r="D26" s="60"/>
      <x:c r="E26" s="60"/>
      <x:c r="F26" s="60"/>
      <x:c r="G26" s="60"/>
      <x:c r="H26" s="60"/>
    </x:row>
    <x:row r="27" ht="35" customHeight="1">
      <x:c r="A27" s="60" t="str">
        <x:v>Это план чистки, не вторая база задач. История, FAIL/UNKNOWN, бюджеты и канонические решения должны сохраниться.</x:v>
      </x:c>
      <x:c r="B27" s="60"/>
      <x:c r="C27" s="60"/>
      <x:c r="D27" s="60"/>
      <x:c r="E27" s="60"/>
      <x:c r="F27" s="60"/>
      <x:c r="G27" s="60"/>
      <x:c r="H27" s="60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F9"/>
    <x:mergeCell ref="A10:F10"/>
    <x:mergeCell ref="A11:F11"/>
    <x:mergeCell ref="A12:F12"/>
    <x:mergeCell ref="A13:F13"/>
    <x:mergeCell ref="A14:F14"/>
    <x:mergeCell ref="A15:F15"/>
    <x:mergeCell ref="A16:F16"/>
    <x:mergeCell ref="A17:F17"/>
    <x:mergeCell ref="A18:F18"/>
    <x:mergeCell ref="A20:H20"/>
    <x:mergeCell ref="A21:H21"/>
    <x:mergeCell ref="A22:H22"/>
    <x:mergeCell ref="A23:H23"/>
    <x:mergeCell ref="A24:H24"/>
    <x:mergeCell ref="A25:H25"/>
    <x:mergeCell ref="A26:H26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37" hidden="0" customWidth="1"/>
    <x:col min="5" max="5" width="28" hidden="0" customWidth="1"/>
    <x:col min="6" max="6" width="40" hidden="0" customWidth="1"/>
    <x:col min="7" max="7" width="40" hidden="0" customWidth="1"/>
    <x:col min="8" max="8" width="40" hidden="0" customWidth="1"/>
    <x:col min="9" max="9" width="35" hidden="0" customWidth="1"/>
    <x:col min="10" max="10" width="38" hidden="0" customWidth="1"/>
    <x:col min="11" max="11" width="18" hidden="0" customWidth="1"/>
  </x:cols>
  <x:sheetData>
    <x:row r="1" ht="24" customHeight="1">
      <x:c r="A1" s="28" t="str">
        <x:v>Что делать дальше — только остаток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24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 ht="34" customHeight="1">
      <x:c r="A3" s="33" t="str">
        <x:v>A01–A10 — текущее исполнение/приёмка; R — roadmap/решения; P — парковка. Не суммировать родительские функции и подзадачи.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5" ht="30" customHeight="1">
      <x:c r="A5" s="44" t="str">
        <x:v>ID</x:v>
      </x:c>
      <x:c r="B5" s="44" t="str">
        <x:v>Тип</x:v>
      </x:c>
      <x:c r="C5" s="44" t="str">
        <x:v>Приоритет</x:v>
      </x:c>
      <x:c r="D5" s="44" t="str">
        <x:v>Актуальное направление</x:v>
      </x:c>
      <x:c r="E5" s="44" t="str">
        <x:v>Связанные задачи</x:v>
      </x:c>
      <x:c r="F5" s="44" t="str">
        <x:v>Что реально есть</x:v>
      </x:c>
      <x:c r="G5" s="44" t="str">
        <x:v>Следующий конкретный шаг</x:v>
      </x:c>
      <x:c r="H5" s="44" t="str">
        <x:v>Критерий завершения</x:v>
      </x:c>
      <x:c r="I5" s="44" t="str">
        <x:v>Источник</x:v>
      </x:c>
      <x:c r="J5" s="44" t="str">
        <x:v>Чего НЕ делать</x:v>
      </x:c>
      <x:c r="K5" s="44" t="str">
        <x:v>Решение Owner</x:v>
      </x:c>
    </x:row>
    <x:row r="6" ht="52" customHeight="1">
      <x:c r="A6" s="40" t="str">
        <x:v>A01</x:v>
      </x:c>
      <x:c r="B6" s="40" t="str">
        <x:v>Продолжить</x:v>
      </x:c>
      <x:c r="C6" s="40" t="str">
        <x:v>P1</x:v>
      </x:c>
      <x:c r="D6" s="40" t="str">
        <x:v>Закончить приватные отзывы и заметки PG-3</x:v>
      </x:c>
      <x:c r="E6" s="40" t="str">
        <x:v>#372; T6/T8; GB-141 (часть)</x:v>
      </x:c>
      <x:c r="F6" s="40" t="str">
        <x:v>PG-1a/1b/2 в DEV. Для PG3 есть сохранённый кандидат 4c020d88; текущая ветка чистая, финальная QA/CI/релиз не завершены.</x:v>
      </x:c>
      <x:c r="G6" s="40" t="str">
        <x:v>Сверить уже исправленные замечания, актуальную базу и миграцию 0048; закончить QA→CI→DEV без переписывания.</x:v>
      </x:c>
      <x:c r="H6" s="40" t="str">
        <x:v>Отзывы игроку play_again/neutral/difficulties; личные заметки; 1–5 только организация/тренерский опыт; ответ/жалоба/ACL.</x:v>
      </x:c>
      <x:c r="I6" s="40" t="str">
        <x:v>https://github.com/anpavel84-afk/gobadminton-clean/issues/372</x:v>
      </x:c>
      <x:c r="J6" s="40" t="str">
        <x:v>Не возобновлять PG-0 или старые paid UNKNOWN; кандидат не равен приёмке.</x:v>
      </x:c>
      <x:c r="K6" s="40" t="str">
        <x:v>Не применено</x:v>
      </x:c>
    </x:row>
    <x:row r="7" ht="52" customHeight="1">
      <x:c r="A7" s="40" t="str">
        <x:v>A02</x:v>
      </x:c>
      <x:c r="B7" s="40" t="str">
        <x:v>Приёмка</x:v>
      </x:c>
      <x:c r="C7" s="40" t="str">
        <x:v>P1</x:v>
      </x:c>
      <x:c r="D7" s="40" t="str">
        <x:v>Сквозной Postgame и история PG-4</x:v>
      </x:c>
      <x:c r="E7" s="40" t="str">
        <x:v>#372; #375; T2/T4/T9/T10</x:v>
      </x:c>
      <x:c r="F7" s="40" t="str">
        <x:v>Outcome/attendance/уведомления/споры/ответы/admin-resolution установлены. Live authenticated end-to-end не подтверждён полностью.</x:v>
      </x:c>
      <x:c r="G7" s="40" t="str">
        <x:v>Проверить организатор→своя отметка участника→возражение→ответ→независимый reviewer→история; после PG3 включить отзывы.</x:v>
      </x:c>
      <x:c r="H7" s="40" t="str">
        <x:v>Явный итог не выводится по времени; отсутствие не означает жалобу/санкцию; бывший участник сохраняет разрешённое обжалование.</x:v>
      </x:c>
      <x:c r="I7" s="40" t="str">
        <x:v>https://github.com/anpavel84-afk/gobadminton-clean/pull/441</x:v>
      </x:c>
      <x:c r="J7" s="40" t="str">
        <x:v>Не создавать второй экран итогов или второй механизм жалоб.</x:v>
      </x:c>
      <x:c r="K7" s="40" t="str">
        <x:v>Не применено</x:v>
      </x:c>
    </x:row>
    <x:row r="8" ht="52" customHeight="1">
      <x:c r="A8" s="40" t="str">
        <x:v>A03</x:v>
      </x:c>
      <x:c r="B8" s="40" t="str">
        <x:v>Продолжить</x:v>
      </x:c>
      <x:c r="C8" s="40" t="str">
        <x:v>P1</x:v>
      </x:c>
      <x:c r="D8" s="40" t="str">
        <x:v>Помочь договориться о корте и показывать ручной статус брони</x:v>
      </x:c>
      <x:c r="E8" s="40" t="str">
        <x:v>#373; #386; D1/T0a-2/T0a-4</x:v>
      </x:c>
      <x:c r="F8" s="40" t="str">
        <x:v>Контакты/профиль/API/Admin уже есть. Продукт #386 остался BLOCKED после AGY; кандидат не опубликован. Booking-status не найден.</x:v>
      </x:c>
      <x:c r="G8" s="40" t="str">
        <x:v>Объединить контакты выбранной площадки, короткую инструкцию, копирование сообщения и отдельную отметку организатора о брони.</x:v>
      </x:c>
      <x:c r="H8" s="40" t="str">
        <x:v>Смена площадки/даты меняет текст; копирование только по клику; создание игры не равно бронированию; неизвестный статус допустим.</x:v>
      </x:c>
      <x:c r="I8" s="40" t="str">
        <x:v>https://github.com/anpavel84-afk/gobadminton-clean/issues/373</x:v>
      </x:c>
      <x:c r="J8" s="40" t="str">
        <x:v>Отвязать от квалификации AGY; действующий Cursor/Codex достаточен. Не строить платёжный/booking-engine.</x:v>
      </x:c>
      <x:c r="K8" s="40" t="str">
        <x:v>Не применено</x:v>
      </x:c>
    </x:row>
    <x:row r="9" ht="66" customHeight="1">
      <x:c r="A9" s="40" t="str">
        <x:v>A04</x:v>
      </x:c>
      <x:c r="B9" s="40" t="str">
        <x:v>Продолжить</x:v>
      </x:c>
      <x:c r="C9" s="40" t="str">
        <x:v>P1</x:v>
      </x:c>
      <x:c r="D9" s="40" t="str">
        <x:v>Довести содержимое каталога площадок</x:v>
      </x:c>
      <x:c r="E9" s="40" t="str">
        <x:v>#422; #53; #109; V2/I1-RUN</x:v>
      </x:c>
      <x:c r="F9" s="40" t="str">
        <x:v>99 реальных: контакты62, описания38, реальные фото8; 11 photo-items на8 площадках, 3 с &gt;=2 фото. Механизм галереи готов.</x:v>
      </x:c>
      <x:c r="G9" s="40" t="str">
        <x:v>Заполнить оставшиеся37 контактов,61 описание и изображения по текущей матрице; проверить идентичность/источник. Демо учитывать отдельно.</x:v>
      </x:c>
      <x:c r="H9" s="40" t="str">
        <x:v>Не считать логотип/иллюстрацию настоящим залом. Публикация по имеющемуся Owner-разрешению, без повторного micro-GO внутри него.</x:v>
      </x:c>
      <x:c r="I9" s="40" t="str">
        <x:v>https://github.com/anpavel84-afk/gobadminton-clean/issues/422</x:v>
      </x:c>
      <x:c r="J9" s="40" t="str">
        <x:v>Не разрабатывать повторно галерею/импорт/Admin. При отсутствии проверенного факта — честный UNKNOWN.</x:v>
      </x:c>
      <x:c r="K9" s="40" t="str">
        <x:v>Не применено</x:v>
      </x:c>
    </x:row>
    <x:row r="10" ht="52" customHeight="1">
      <x:c r="A10" s="40" t="str">
        <x:v>A05</x:v>
      </x:c>
      <x:c r="B10" s="40" t="str">
        <x:v>Продолжить</x:v>
      </x:c>
      <x:c r="C10" s="40" t="str">
        <x:v>P2</x:v>
      </x:c>
      <x:c r="D10" s="40" t="str">
        <x:v>Комментарии к играм, площадкам и игрокам</x:v>
      </x:c>
      <x:c r="E10" s="40" t="str">
        <x:v>#394 (новый остаток); решение в #372</x:v>
      </x:c>
      <x:c r="F10" s="40" t="str">
        <x:v>Общий редизайн поставлен. Owner 01.11 одобрил обе галереи и продолжение comments после Postgame; app-комментариев пока нет.</x:v>
      </x:c>
      <x:c r="G10" s="40" t="str">
        <x:v>Выделить самостоятельный срез из #394: договорить точную видимость/модерацию по утверждённой модели и реализовать после PG3/4.</x:v>
      </x:c>
      <x:c r="H10" s="40" t="str">
        <x:v>Не смешивать публичное обсуждение с приватными отзывами/личными заметками; не переделывать весь сайт.</x:v>
      </x:c>
      <x:c r="I10" s="40" t="str">
        <x:v>https://github.com/anpavel84-afk/gobadminton-clean/issues/372#issuecomment-6555581830</x:v>
      </x:c>
      <x:c r="J10" s="40" t="str">
        <x:v>Не просить повторно одобрить уже одобренный дизайн; не считать approval безусловным открытием приватных отзывов.</x:v>
      </x:c>
      <x:c r="K10" s="40" t="str">
        <x:v>Не применено</x:v>
      </x:c>
    </x:row>
    <x:row r="11" ht="66" customHeight="1">
      <x:c r="A11" s="40" t="str">
        <x:v>A06</x:v>
      </x:c>
      <x:c r="B11" s="40" t="str">
        <x:v>Проверить</x:v>
      </x:c>
      <x:c r="C11" s="40" t="str">
        <x:v>P1</x:v>
      </x:c>
      <x:c r="D11" s="40" t="str">
        <x:v>Один адресный пакет регрессий карты и загрузки медиа</x:v>
      </x:c>
      <x:c r="E11" s="40" t="str">
        <x:v>#445; #406; остатки #94/#96</x:v>
      </x:c>
      <x:c r="F11" s="40" t="str">
        <x:v>Фильтры, маркеры, preloader и часть image preloading выпущены. QA сообщил ложное empty/долгую загрузку; полный performance-охват не принят.</x:v>
      </x:c>
      <x:c r="G11" s="40" t="str">
        <x:v>Воспроизвести текущие first-load/reload/city-change; измерить image/network/JS. Исправить только подтверждённый остаток.</x:v>
      </x:c>
      <x:c r="H11" s="40" t="str">
        <x:v>Один reproducible сценарий → один patch; не обновлять MapLibre без доказательства; нативный iPhone не заменять desktop viewport.</x:v>
      </x:c>
      <x:c r="I11" s="40" t="str">
        <x:v>https://github.com/anpavel84-afk/gobadminton-clean/issues/445</x:v>
      </x:c>
      <x:c r="J11" s="40" t="str">
        <x:v>Старые PR95/97 не мержить как готовый ремонт сегодняшнего DEV.</x:v>
      </x:c>
      <x:c r="K11" s="40" t="str">
        <x:v>Не применено</x:v>
      </x:c>
    </x:row>
    <x:row r="12" ht="66" customHeight="1">
      <x:c r="A12" s="40" t="str">
        <x:v>A07</x:v>
      </x:c>
      <x:c r="B12" s="40" t="str">
        <x:v>Приёмка</x:v>
      </x:c>
      <x:c r="C12" s="40" t="str">
        <x:v>P1</x:v>
      </x:c>
      <x:c r="D12" s="40" t="str">
        <x:v>Завершить email-code rollout и проверку входа</x:v>
      </x:c>
      <x:c r="E12" s="40" t="str">
        <x:v>#442; GB-066/067/068</x:v>
      </x:c>
      <x:c r="F12" s="40" t="str">
        <x:v>SMTP AUTH, отправка кода, вход/настройка профиля прошли на DEV. smtp worker включён. На PROD EMAIL_AUTH_TRANSPORT отсутствует.</x:v>
      </x:c>
      <x:c r="G12" s="40" t="str">
        <x:v>Не начинать транспорт заново: проверить resend/expiry/link/unlink/recovery действующего email-code flow; отдельно разрешённая PROD-активация.</x:v>
      </x:c>
      <x:c r="H12" s="40" t="str">
        <x:v>Успешное SMTP принятие ≠ inbox delivery. Секрет не выводить. Никакого придуманного password-reset, если модель входа без пароля.</x:v>
      </x:c>
      <x:c r="I12" s="40" t="str">
        <x:v>https://github.com/anpavel84-afk/gobadminton-clean/issues/442</x:v>
      </x:c>
      <x:c r="J12" s="40" t="str">
        <x:v>Раннее сообщение «пароля нет, только fake» устарело после PR443/444.</x:v>
      </x:c>
      <x:c r="K12" s="40" t="str">
        <x:v>Не применено</x:v>
      </x:c>
    </x:row>
    <x:row r="13" ht="66" customHeight="1">
      <x:c r="A13" s="40" t="str">
        <x:v>A08</x:v>
      </x:c>
      <x:c r="B13" s="40" t="str">
        <x:v>Приёмка</x:v>
      </x:c>
      <x:c r="C13" s="40" t="str">
        <x:v>P1</x:v>
      </x:c>
      <x:c r="D13" s="40" t="str">
        <x:v>Сверить фактические роли и согласованные социальные настройки</x:v>
      </x:c>
      <x:c r="E13" s="40" t="str">
        <x:v>#445/#450; #448</x:v>
      </x:c>
      <x:c r="F13" s="40" t="str">
        <x:v>Email-имена и wording исправлены. У тестовой неизменённой фикстуры catalogue ON — по решению Owner; trainer404/чужой game-chat404 допустимы.</x:v>
      </x:c>
      <x:c r="G13" s="40" t="str">
        <x:v>Проверить реальный opt-out и доступ организатора/подтверждённого участника; закрыть ложные FAIL как expected с evidence.</x:v>
      </x:c>
      <x:c r="H13" s="40" t="str">
        <x:v>Не считать красную строку Network багом; не выдавать чужой чат или автоматически включать реальный OFF ради зелёного QA.</x:v>
      </x:c>
      <x:c r="I13" s="40" t="str">
        <x:v>https://github.com/anpavel84-afk/gobadminton-clean/issues/450#issuecomment-6563422447</x:v>
      </x:c>
      <x:c r="J13" s="40" t="str">
        <x:v>Не включать снова first-message approval, отменённый #423.</x:v>
      </x:c>
      <x:c r="K13" s="40" t="str">
        <x:v>Не применено</x:v>
      </x:c>
    </x:row>
    <x:row r="14" ht="52" customHeight="1">
      <x:c r="A14" s="40" t="str">
        <x:v>A09</x:v>
      </x:c>
      <x:c r="B14" s="40" t="str">
        <x:v>Выпуск</x:v>
      </x:c>
      <x:c r="C14" s="40" t="str">
        <x:v>P1</x:v>
      </x:c>
      <x:c r="D14" s="40" t="str">
        <x:v>Согласованно продвинуть актуальные принятые исправления в PROD</x:v>
      </x:c>
      <x:c r="E14" s="40" t="str">
        <x:v>#450/#402; release delta</x:v>
      </x:c>
      <x:c r="F14" s="40" t="str">
        <x:v>DEV alpha.10 / 1dc50002; PROD alpha.8 /26f3ba38. Source alpha9 безопасных публичных имён и alpha10 profile UI ещё не на PROD.</x:v>
      </x:c>
      <x:c r="G14" s="40" t="str">
        <x:v>Проверить действующее разрешение, перечень delta, QA/rollback и отдельно выполнить app-only promotion.</x:v>
      </x:c>
      <x:c r="H14" s="40" t="str">
        <x:v>Продвижение образа не означает включение Postgame/SMTP/Admin. Каждая конфигурация — отдельный допуск.</x:v>
      </x:c>
      <x:c r="I14" s="40" t="str">
        <x:v>https://github.com/anpavel84-afk/gobadminton-clean/pull/451</x:v>
      </x:c>
      <x:c r="J14" s="40" t="str">
        <x:v>Не переоткрывать старую #435: canonical-origin parity уже реализован.</x:v>
      </x:c>
      <x:c r="K14" s="40" t="str">
        <x:v>Не применено</x:v>
      </x:c>
    </x:row>
    <x:row r="15" ht="52" customHeight="1">
      <x:c r="A15" s="40" t="str">
        <x:v>A10</x:v>
      </x:c>
      <x:c r="B15" s="40" t="str">
        <x:v>Учёт</x:v>
      </x:c>
      <x:c r="C15" s="40" t="str">
        <x:v>P2</x:v>
      </x:c>
      <x:c r="D15" s="40" t="str">
        <x:v>Однократно привести бэклог и контекст в порядок</x:v>
      </x:c>
      <x:c r="E15" s="40" t="str">
        <x:v>#175; GB-130..135</x:v>
      </x:c>
      <x:c r="F15" s="40" t="str">
        <x:v>124 Issue;109OPEN. Многие выполненные/заменённые карточки всё ещё Todo. Список Project14 не полон.</x:v>
      </x:c>
      <x:c r="G15" s="40" t="str">
        <x:v>Применить таблицу преемников/остатков после решения Owner; убрать archived/superseded из списка next; сохранить канон и receipts.</x:v>
      </x:c>
      <x:c r="H15" s="40" t="str">
        <x:v>Один активный носитель каждого требования; done≠Owner accepted; no автоматическое раскрытие parked задач.</x:v>
      </x:c>
      <x:c r="I15" s="40" t="str">
        <x:v>https://github.com/anpavel84-afk/gobadminton-clean/issues/175</x:v>
      </x:c>
      <x:c r="J15" s="40" t="str">
        <x:v>Не новый монитор/сервис/фреймворк. Этот отчёт ничего не закрыл.</x:v>
      </x:c>
      <x:c r="K15" s="40" t="str">
        <x:v>Не применено</x:v>
      </x:c>
    </x:row>
    <x:row r="16" ht="66" customHeight="1">
      <x:c r="A16" s="40" t="str">
        <x:v>R01</x:v>
      </x:c>
      <x:c r="B16" s="40" t="str">
        <x:v>Отложенный roadmap</x:v>
      </x:c>
      <x:c r="C16" s="40" t="str">
        <x:v>После ближайших поставок</x:v>
      </x:c>
      <x:c r="D16" s="40" t="str">
        <x:v>Web Push для установленной PWA</x:v>
      </x:c>
      <x:c r="E16" s="40" t="str">
        <x:v>GB-037; Owner decision 07.10</x:v>
      </x:c>
      <x:c r="F16" s="40" t="str">
        <x:v>Подтверждено продуктовое направление, не найдено рабочее Push/SW/VAPID решение в текущем коде.</x:v>
      </x:c>
      <x:c r="G16" s="40" t="str">
        <x:v>Один ограниченный admission на разрешение, подписки, существующий worker и переход в диалог; затем реальный iPhone Home Screen тест.</x:v>
      </x:c>
      <x:c r="H16" s="40" t="str">
        <x:v>Не дублировать БД сообщений и очереди; private message body не отправлять по умолчанию.</x:v>
      </x:c>
      <x:c r="I16" s="40" t="str">
        <x:v>https://github.com/anpavel84-afk/gobadminton-clean/blob/dev/docs/decisions/OWNER_DECISION_PWA_WEB_PUSH_MESSAGING_V001.md</x:v>
      </x:c>
      <x:c r="J16" s="40" t="str">
        <x:v>Направление утверждено; старый документ сам по себе не разрешает live activation.</x:v>
      </x:c>
      <x:c r="K16" s="40" t="str">
        <x:v>Не применено</x:v>
      </x:c>
    </x:row>
    <x:row r="17" ht="52" customHeight="1">
      <x:c r="A17" s="40" t="str">
        <x:v>R02</x:v>
      </x:c>
      <x:c r="B17" s="40" t="str">
        <x:v>Отложенный roadmap</x:v>
      </x:c>
      <x:c r="C17" s="40" t="str">
        <x:v>После Postgame</x:v>
      </x:c>
      <x:c r="D17" s="40" t="str">
        <x:v>Напоминания организатору подвести итоги</x:v>
      </x:c>
      <x:c r="E17" s="40" t="str">
        <x:v>T5</x:v>
      </x:c>
      <x:c r="F17" s="40" t="str">
        <x:v>Старый отдельный пункт, реализация не подтверждена. Не путать с уведомлением о собственной посещаемости — оно уже есть.</x:v>
      </x:c>
      <x:c r="G17" s="40" t="str">
        <x:v>Вернуть как небольшой follow-up #372 с согласованными окнами, «Позже» и ограничением числа напоминаний.</x:v>
      </x:c>
      <x:c r="H17" s="40" t="str">
        <x:v>Нет автопроставления held/absent от молчания; использовать существующий механизм доставки.</x:v>
      </x:c>
      <x:c r="I17" s="40" t="str">
        <x:v>https://github.com/anpavel84-afk/gobadminton-clean/blob/dev/docs/workbench/train-idle-20261022/backlog-after.json</x:v>
      </x:c>
      <x:c r="J17" s="40" t="str">
        <x:v>Не блокирует выпуск PG3; старое «не больше 3» перепроверить в применимом согласованном контракте.</x:v>
      </x:c>
      <x:c r="K17" s="40" t="str">
        <x:v>Не применено</x:v>
      </x:c>
    </x:row>
    <x:row r="18" ht="52" customHeight="1">
      <x:c r="A18" s="40" t="str">
        <x:v>R03</x:v>
      </x:c>
      <x:c r="B18" s="40" t="str">
        <x:v>Отложенный roadmap</x:v>
      </x:c>
      <x:c r="C18" s="40" t="str">
        <x:v>Отдельное решение</x:v>
      </x:c>
      <x:c r="D18" s="40" t="str">
        <x:v>Санкт-Петербург: реальные map assets и реестр городов</x:v>
      </x:c>
      <x:c r="E18" s="40" t="str">
        <x:v>M7; GB-044/057</x:v>
      </x:c>
      <x:c r="F18" s="40" t="str">
        <x:v>Площадки СПб есть в каталоге; наличие города не доказывает готовую карту и географический Radar.</x:v>
      </x:c>
      <x:c r="G18" s="40" t="str">
        <x:v>Отдельная проверка разрешённых ресурсов/границ; затем выпуск, не обещать готовность по одному cityId.</x:v>
      </x:c>
      <x:c r="H18" s="40" t="str">
        <x:v>Не подменять карту СПб московскими тайлами и не выводить геолокацию из города профиля.</x:v>
      </x:c>
      <x:c r="I18" s="40" t="str">
        <x:v>https://github.com/anpavel84-afk/gobadminton-clean/blob/dev/docs/workbench/train-idle-20261022/backlog-after.json</x:v>
      </x:c>
      <x:c r="J18" s="40" t="str">
        <x:v>Не возвращать ранний глобальный map-redesign.</x:v>
      </x:c>
      <x:c r="K18" s="40" t="str">
        <x:v>Не применено</x:v>
      </x:c>
    </x:row>
    <x:row r="19" ht="52" customHeight="1">
      <x:c r="A19" s="40" t="str">
        <x:v>R04</x:v>
      </x:c>
      <x:c r="B19" s="40" t="str">
        <x:v>Отложенный roadmap</x:v>
      </x:c>
      <x:c r="C19" s="40" t="str">
        <x:v>Перед широким пилотом</x:v>
      </x:c>
      <x:c r="D19" s="40" t="str">
        <x:v>Онбординг уровня, пилот и метрики повторного участия</x:v>
      </x:c>
      <x:c r="E19" s="40" t="str">
        <x:v>GB-140/141/142</x:v>
      </x:c>
      <x:c r="F19" s="40" t="str">
        <x:v>В старом реестре needs_triage / proposed, не текущий обязательный implementation. Self-declared уровень уже есть.</x:v>
      </x:c>
      <x:c r="G19" s="40" t="str">
        <x:v>Один продуктовый разбор реального пилота, определения состоявшейся игры/повторного посещения и успеха новичка.</x:v>
      </x:c>
      <x:c r="H19" s="40" t="str">
        <x:v>Не превращать в автоматический рейтинг и не считать заявки посещениями.</x:v>
      </x:c>
      <x:c r="I19" s="40" t="str">
        <x:v>https://github.com/anpavel84-afk/gobadminton-clean/blob/dev/docs/product/METRICS_AND_PILOT.md</x:v>
      </x:c>
      <x:c r="J19" s="40" t="str">
        <x:v>Не импортировать все старые гипотезы как P0.</x:v>
      </x:c>
      <x:c r="K19" s="40" t="str">
        <x:v>Не применено</x:v>
      </x:c>
    </x:row>
    <x:row r="20" ht="52" customHeight="1">
      <x:c r="A20" s="40" t="str">
        <x:v>R05</x:v>
      </x:c>
      <x:c r="B20" s="40" t="str">
        <x:v>Решение / проверка</x:v>
      </x:c>
      <x:c r="C20" s="40" t="str">
        <x:v>Перед широким пилотом</x:v>
      </x:c>
      <x:c r="D20" s="40" t="str">
        <x:v>Правовая, privacy и операционная готовность</x:v>
      </x:c>
      <x:c r="E20" s="40" t="str">
        <x:v>GB-095..099; GB-070..075</x:v>
      </x:c>
      <x:c r="F20" s="40" t="str">
        <x:v>Страницы legal/privacy/terms/rules есть, Admin/Safety механизмы есть. Это не доказательство юридической приёмки.</x:v>
      </x:c>
      <x:c r="G20" s="40" t="str">
        <x:v>Проверить утверждённость текста, support/reviewer, возрастные правила, retention/данные; запускать лишь выявленные изменения.</x:v>
      </x:c>
      <x:c r="H20" s="40" t="str">
        <x:v>Не создавать заново legal pages или Admin; не объявлять незаконность без проверки.</x:v>
      </x:c>
      <x:c r="I20" s="40" t="str">
        <x:v>https://github.com/anpavel84-afk/gobadminton-clean/blob/dev/docs/product/SCOPE.md</x:v>
      </x:c>
      <x:c r="J20" s="40" t="str">
        <x:v>Факт технической доступности страницы ≠ юридическое заключение.</x:v>
      </x:c>
      <x:c r="K20" s="40" t="str">
        <x:v>Не применено</x:v>
      </x:c>
    </x:row>
    <x:row r="21" ht="52" customHeight="1">
      <x:c r="A21" s="40" t="str">
        <x:v>P01</x:v>
      </x:c>
      <x:c r="B21" s="40" t="str">
        <x:v>Парковка OPS</x:v>
      </x:c>
      <x:c r="C21" s="40" t="str">
        <x:v>Не блокирует продукт</x:v>
      </x:c>
      <x:c r="D21" s="40" t="str">
        <x:v>Antigravity Author и остаточная автономность</x:v>
      </x:c>
      <x:c r="E21" s="40" t="str">
        <x:v>#29; PR393; #244/#336</x:v>
      </x:c>
      <x:c r="F21" s="40" t="str">
        <x:v>QA-роль работала; Author реального принятого продукта не показал. Диагностическая правка PR393 остаётся OPEN.</x:v>
      </x:c>
      <x:c r="G21" s="40" t="str">
        <x:v>Хранить один краткий актуальный HOLD. Возобновлять только по явному техническому приоритету/конкретному блокеру.</x:v>
      </x:c>
      <x:c r="H21" s="40" t="str">
        <x:v>Не переигрывать UNKNOWN и не связывать #386 с необязательным третьим автором.</x:v>
      </x:c>
      <x:c r="I21" s="40" t="str">
        <x:v>https://github.com/anpavel84-afk/gobadminton-clean/pull/393</x:v>
      </x:c>
      <x:c r="J21" s="40" t="str">
        <x:v>Это не признание функции DONE; это исключение из ближайшей продуктовой очереди.</x:v>
      </x:c>
      <x:c r="K21" s="40" t="str">
        <x:v>Не применено</x:v>
      </x:c>
    </x:row>
    <x:row r="22" ht="52" customHeight="1">
      <x:c r="A22" s="40" t="str">
        <x:v>P02</x:v>
      </x:c>
      <x:c r="B22" s="40" t="str">
        <x:v>Будущее</x:v>
      </x:c>
      <x:c r="C22" s="40" t="str">
        <x:v>Не активная очередь</x:v>
      </x:c>
      <x:c r="D22" s="40" t="str">
        <x:v>Турниры, waitlist, платежи, реальная бронь, CRM, лента</x:v>
      </x:c>
      <x:c r="E22" s="40" t="str">
        <x:v>FR-8; GB-054/100..102</x:v>
      </x:c>
      <x:c r="F22" s="40" t="str">
        <x:v>Исходно future/post-MVP или исключено. Attendance из смешанного GB-101 уже переехал в #372.</x:v>
      </x:c>
      <x:c r="G22" s="40" t="str">
        <x:v>Оставить холодный список идей; при новом выборе Owner сформулировать актуальную отдельную задачу.</x:v>
      </x:c>
      <x:c r="H22" s="40" t="str">
        <x:v>Не запускать скрытые/private-game рекомендации, финансовые расчёты и публичный рейтинг автоматически.</x:v>
      </x:c>
      <x:c r="I22" s="40" t="str">
        <x:v>https://github.com/anpavel84-afk/gobadminton-clean/blob/dev/docs/product/SCOPE.md</x:v>
      </x:c>
      <x:c r="J22" s="40" t="str">
        <x:v>Не удалять нужную attendance-функцию вместе с остальными будущими пунктами GB-101.</x:v>
      </x:c>
      <x:c r="K22" s="40" t="str">
        <x:v>Не применено</x:v>
      </x:c>
    </x:row>
  </x:sheetData>
  <x:mergeCells>
    <x:mergeCell ref="A1:K2"/>
    <x:mergeCell ref="A3:K3"/>
  </x:mergeCells>
  <x:dataValidations count="1">
    <x:dataValidation type="list" sqref="K6:K22">
      <x:formula1>"Не применено,Одобрить,Изменить,Не выполнять"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46cadeb5b54bc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7" hidden="0" customWidth="1"/>
    <x:col min="3" max="3" width="12" hidden="0" customWidth="1"/>
    <x:col min="4" max="4" width="29" hidden="0" customWidth="1"/>
    <x:col min="5" max="5" width="28" hidden="0" customWidth="1"/>
    <x:col min="6" max="6" width="40" hidden="0" customWidth="1"/>
    <x:col min="7" max="7" width="31" hidden="0" customWidth="1"/>
    <x:col min="8" max="8" width="36" hidden="0" customWidth="1"/>
    <x:col min="9" max="9" width="35" hidden="0" customWidth="1"/>
    <x:col min="10" max="10" width="18" hidden="0" customWidth="1"/>
  </x:cols>
  <x:sheetData>
    <x:row r="1" ht="24" customHeight="1">
      <x:c r="A1" s="28" t="str">
        <x:v>124 текущие Issue — решение по каждой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24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</x:row>
    <x:row r="3" ht="34" customHeight="1">
      <x:c r="A3" s="33" t="str">
        <x:v>OPEN в GitHub не равно невыполненной функции. «Технически выпущена» — не заявление о финальной Owner-приёмке; код всех 269 merged PR входит в DEV.</x:v>
      </x:c>
      <x:c r="B3" s="33"/>
      <x:c r="C3" s="33"/>
      <x:c r="D3" s="33"/>
      <x:c r="E3" s="33"/>
      <x:c r="F3" s="33"/>
      <x:c r="G3" s="33"/>
      <x:c r="H3" s="33"/>
      <x:c r="I3" s="33"/>
      <x:c r="J3" s="33"/>
    </x:row>
    <x:row r="5" ht="30" customHeight="1">
      <x:c r="A5" s="44" t="str">
        <x:v>Issue</x:v>
      </x:c>
      <x:c r="B5" s="44" t="str">
        <x:v>Краткий смысл</x:v>
      </x:c>
      <x:c r="C5" s="44" t="str">
        <x:v>GitHub</x:v>
      </x:c>
      <x:c r="D5" s="44" t="str">
        <x:v>Рекомендуемая судьба</x:v>
      </x:c>
      <x:c r="E5" s="44" t="str">
        <x:v>Куда перенести остаток</x:v>
      </x:c>
      <x:c r="F5" s="44" t="str">
        <x:v>Основание / ограничение</x:v>
      </x:c>
      <x:c r="G5" s="44" t="str">
        <x:v>PR / ключевые evidence</x:v>
      </x:c>
      <x:c r="H5" s="44" t="str">
        <x:v>Каноническая Issue</x:v>
      </x:c>
      <x:c r="I5" s="44" t="str">
        <x:v>Уверенность / граница</x:v>
      </x:c>
      <x:c r="J5" s="44" t="str">
        <x:v>Решение Owner</x:v>
      </x:c>
    </x:row>
    <x:row r="6" ht="52" customHeight="1">
      <x:c r="A6" s="40" t="n">
        <x:v>1</x:v>
      </x:c>
      <x:c r="B6" s="40" t="str">
        <x:v>Восстановление транспорта Profile/Games API</x:v>
      </x:c>
      <x:c r="C6" s="40" t="str">
        <x:v>OPEN</x:v>
      </x:c>
      <x:c r="D6" s="40" t="str">
        <x:v>История — не возобновлять</x:v>
      </x:c>
      <x:c r="E6" s="40" t="str">
        <x:v>Архив технических этапов</x:v>
      </x:c>
      <x:c r="F6" s="40" t="str">
        <x:v>Разовый bootstrap/canary/старый ремонт. Текущий продукт работает по более позднему контуру; не оживлять старые инструкции.</x:v>
      </x:c>
      <x:c r="G6" s="40" t="str"/>
      <x:c r="H6" s="40" t="str">
        <x:v>https://github.com/anpavel84-afk/gobadminton-clean/issues/1</x:v>
      </x:c>
      <x:c r="I6" s="40" t="str">
        <x:v>Рекомендация; перед закрытием сверить остаточные эффекты</x:v>
      </x:c>
      <x:c r="J6" s="40" t="str">
        <x:v>Не применено</x:v>
      </x:c>
    </x:row>
    <x:row r="7" ht="52" customHeight="1">
      <x:c r="A7" s="40" t="n">
        <x:v>2</x:v>
      </x:c>
      <x:c r="B7" s="40" t="str">
        <x:v>Повторная проверка Radar/Profile</x:v>
      </x:c>
      <x:c r="C7" s="40" t="str">
        <x:v>OPEN</x:v>
      </x:c>
      <x:c r="D7" s="40" t="str">
        <x:v>История — не возобновлять</x:v>
      </x:c>
      <x:c r="E7" s="40" t="str">
        <x:v>Архив технических этапов</x:v>
      </x:c>
      <x:c r="F7" s="40" t="str">
        <x:v>Разовый bootstrap/canary/старый ремонт. Текущий продукт работает по более позднему контуру; не оживлять старые инструкции.</x:v>
      </x:c>
      <x:c r="G7" s="40" t="str"/>
      <x:c r="H7" s="40" t="str">
        <x:v>https://github.com/anpavel84-afk/gobadminton-clean/issues/2</x:v>
      </x:c>
      <x:c r="I7" s="40" t="str">
        <x:v>Рекомендация; перед закрытием сверить остаточные эффекты</x:v>
      </x:c>
      <x:c r="J7" s="40" t="str">
        <x:v>Не применено</x:v>
      </x:c>
    </x:row>
    <x:row r="8" ht="52" customHeight="1">
      <x:c r="A8" s="40" t="n">
        <x:v>3</x:v>
      </x:c>
      <x:c r="B8" s="40" t="str">
        <x:v>Изолированный Germany DEV Web/API/PostGIS</x:v>
      </x:c>
      <x:c r="C8" s="40" t="str">
        <x:v>OPEN</x:v>
      </x:c>
      <x:c r="D8" s="40" t="str">
        <x:v>История — не возобновлять</x:v>
      </x:c>
      <x:c r="E8" s="40" t="str">
        <x:v>Архив технических этапов</x:v>
      </x:c>
      <x:c r="F8" s="40" t="str">
        <x:v>Разовый bootstrap/canary/старый ремонт. Текущий продукт работает по более позднему контуру; не оживлять старые инструкции.</x:v>
      </x:c>
      <x:c r="G8" s="40" t="str"/>
      <x:c r="H8" s="40" t="str">
        <x:v>https://github.com/anpavel84-afk/gobadminton-clean/issues/3</x:v>
      </x:c>
      <x:c r="I8" s="40" t="str">
        <x:v>Рекомендация; перед закрытием сверить остаточные эффекты</x:v>
      </x:c>
      <x:c r="J8" s="40" t="str">
        <x:v>Не применено</x:v>
      </x:c>
    </x:row>
    <x:row r="9" ht="52" customHeight="1">
      <x:c r="A9" s="40" t="n">
        <x:v>4</x:v>
      </x:c>
      <x:c r="B9" s="40" t="str">
        <x:v>Независимая QA, DEV и контролируемый PROD</x:v>
      </x:c>
      <x:c r="C9" s="40" t="str">
        <x:v>OPEN</x:v>
      </x:c>
      <x:c r="D9" s="40" t="str">
        <x:v>Парковка OPS</x:v>
      </x:c>
      <x:c r="E9" s="40" t="str">
        <x:v>#29 — только актуальный техостаток</x:v>
      </x:c>
      <x:c r="F9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9" s="40" t="str"/>
      <x:c r="H9" s="40" t="str">
        <x:v>https://github.com/anpavel84-afk/gobadminton-clean/issues/4</x:v>
      </x:c>
      <x:c r="I9" s="40" t="str">
        <x:v>Рекомендация; runtime-гейты не снимались</x:v>
      </x:c>
      <x:c r="J9" s="40" t="str">
        <x:v>Не применено</x:v>
      </x:c>
    </x:row>
    <x:row r="10" ht="52" customHeight="1">
      <x:c r="A10" s="40" t="n">
        <x:v>5</x:v>
      </x:c>
      <x:c r="B10" s="40" t="str">
        <x:v>Friends, Messaging, Games — дорожная карта</x:v>
      </x:c>
      <x:c r="C10" s="40" t="str">
        <x:v>OPEN</x:v>
      </x:c>
      <x:c r="D10" s="40" t="str">
        <x:v>История — не возобновлять</x:v>
      </x:c>
      <x:c r="E10" s="40" t="str">
        <x:v>Архив технических этапов</x:v>
      </x:c>
      <x:c r="F10" s="40" t="str">
        <x:v>Разовый bootstrap/canary/старый ремонт. Текущий продукт работает по более позднему контуру; не оживлять старые инструкции.</x:v>
      </x:c>
      <x:c r="G10" s="40" t="str"/>
      <x:c r="H10" s="40" t="str">
        <x:v>https://github.com/anpavel84-afk/gobadminton-clean/issues/5</x:v>
      </x:c>
      <x:c r="I10" s="40" t="str">
        <x:v>Рекомендация; перед закрытием сверить остаточные эффекты</x:v>
      </x:c>
      <x:c r="J10" s="40" t="str">
        <x:v>Не применено</x:v>
      </x:c>
    </x:row>
    <x:row r="11" ht="52" customHeight="1">
      <x:c r="A11" s="40" t="n">
        <x:v>6</x:v>
      </x:c>
      <x:c r="B11" s="40" t="str">
        <x:v>Переход на CLEAN Git; архив legacy</x:v>
      </x:c>
      <x:c r="C11" s="40" t="str">
        <x:v>OPEN</x:v>
      </x:c>
      <x:c r="D11" s="40" t="str">
        <x:v>История — не возобновлять</x:v>
      </x:c>
      <x:c r="E11" s="40" t="str">
        <x:v>Архив технических этапов</x:v>
      </x:c>
      <x:c r="F11" s="40" t="str">
        <x:v>Разовый bootstrap/canary/старый ремонт. Текущий продукт работает по более позднему контуру; не оживлять старые инструкции.</x:v>
      </x:c>
      <x:c r="G11" s="40" t="str"/>
      <x:c r="H11" s="40" t="str">
        <x:v>https://github.com/anpavel84-afk/gobadminton-clean/issues/6</x:v>
      </x:c>
      <x:c r="I11" s="40" t="str">
        <x:v>Рекомендация; перед закрытием сверить остаточные эффекты</x:v>
      </x:c>
      <x:c r="J11" s="40" t="str">
        <x:v>Не применено</x:v>
      </x:c>
    </x:row>
    <x:row r="12" ht="66" customHeight="1">
      <x:c r="A12" s="40" t="n">
        <x:v>12</x:v>
      </x:c>
      <x:c r="B12" s="40" t="str">
        <x:v>Friends S1 API + S2 UI</x:v>
      </x:c>
      <x:c r="C12" s="40" t="str">
        <x:v>OPEN</x:v>
      </x:c>
      <x:c r="D12" s="40" t="str">
        <x:v>Технически выпущена</x:v>
      </x:c>
      <x:c r="E12" s="40" t="str">
        <x:v>Реестр поставленного / UAT</x:v>
      </x:c>
      <x:c r="F12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2" s="40" t="str">
        <x:v>27,50,387,416,436,449</x:v>
      </x:c>
      <x:c r="H12" s="40" t="str">
        <x:v>https://github.com/anpavel84-afk/gobadminton-clean/issues/12</x:v>
      </x:c>
      <x:c r="I12" s="40" t="str">
        <x:v>Высокая по Git ancestry; не финальная Owner-приёмка</x:v>
      </x:c>
      <x:c r="J12" s="40" t="str">
        <x:v>Не применено</x:v>
      </x:c>
    </x:row>
    <x:row r="13" ht="66" customHeight="1">
      <x:c r="A13" s="40" t="n">
        <x:v>13</x:v>
      </x:c>
      <x:c r="B13" s="40" t="str">
        <x:v>Radar: карта игроков и площадок</x:v>
      </x:c>
      <x:c r="C13" s="40" t="str">
        <x:v>OPEN</x:v>
      </x:c>
      <x:c r="D13" s="40" t="str">
        <x:v>Технически выпущена</x:v>
      </x:c>
      <x:c r="E13" s="40" t="str">
        <x:v>Реестр поставленного / UAT</x:v>
      </x:c>
      <x:c r="F13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3" s="40" t="str">
        <x:v>25,39,79,309,362,363,364,412</x:v>
      </x:c>
      <x:c r="H13" s="40" t="str">
        <x:v>https://github.com/anpavel84-afk/gobadminton-clean/issues/13</x:v>
      </x:c>
      <x:c r="I13" s="40" t="str">
        <x:v>Высокая по Git ancestry; не финальная Owner-приёмка</x:v>
      </x:c>
      <x:c r="J13" s="40" t="str">
        <x:v>Не применено</x:v>
      </x:c>
    </x:row>
    <x:row r="14" ht="66" customHeight="1">
      <x:c r="A14" s="40" t="n">
        <x:v>14</x:v>
      </x:c>
      <x:c r="B14" s="40" t="str">
        <x:v>Germany DEV: локальные ресурсы карты Москвы</x:v>
      </x:c>
      <x:c r="C14" s="40" t="str">
        <x:v>OPEN</x:v>
      </x:c>
      <x:c r="D14" s="40" t="str">
        <x:v>Технически выпущена</x:v>
      </x:c>
      <x:c r="E14" s="40" t="str">
        <x:v>Реестр поставленного / UAT</x:v>
      </x:c>
      <x:c r="F14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4" s="40" t="str">
        <x:v>25,436</x:v>
      </x:c>
      <x:c r="H14" s="40" t="str">
        <x:v>https://github.com/anpavel84-afk/gobadminton-clean/issues/14</x:v>
      </x:c>
      <x:c r="I14" s="40" t="str">
        <x:v>Высокая по Git ancestry; не финальная Owner-приёмка</x:v>
      </x:c>
      <x:c r="J14" s="40" t="str">
        <x:v>Не применено</x:v>
      </x:c>
    </x:row>
    <x:row r="15" ht="66" customHeight="1">
      <x:c r="A15" s="40" t="n">
        <x:v>15</x:v>
      </x:c>
      <x:c r="B15" s="40" t="str">
        <x:v>Аватары организаторов в Моих играх</x:v>
      </x:c>
      <x:c r="C15" s="40" t="str">
        <x:v>OPEN</x:v>
      </x:c>
      <x:c r="D15" s="40" t="str">
        <x:v>Технически выпущена</x:v>
      </x:c>
      <x:c r="E15" s="40" t="str">
        <x:v>Реестр поставленного / UAT</x:v>
      </x:c>
      <x:c r="F15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5" s="40" t="str">
        <x:v>40</x:v>
      </x:c>
      <x:c r="H15" s="40" t="str">
        <x:v>https://github.com/anpavel84-afk/gobadminton-clean/issues/15</x:v>
      </x:c>
      <x:c r="I15" s="40" t="str">
        <x:v>Высокая по Git ancestry; не финальная Owner-приёмка</x:v>
      </x:c>
      <x:c r="J15" s="40" t="str">
        <x:v>Не применено</x:v>
      </x:c>
    </x:row>
    <x:row r="16" ht="52" customHeight="1">
      <x:c r="A16" s="40" t="n">
        <x:v>23</x:v>
      </x:c>
      <x:c r="B16" s="40" t="str">
        <x:v>Foundation: ссылки и контракты мутаций</x:v>
      </x:c>
      <x:c r="C16" s="40" t="str">
        <x:v>OPEN</x:v>
      </x:c>
      <x:c r="D16" s="40" t="str">
        <x:v>История — не возобновлять</x:v>
      </x:c>
      <x:c r="E16" s="40" t="str">
        <x:v>Архив технических этапов</x:v>
      </x:c>
      <x:c r="F16" s="40" t="str">
        <x:v>Разовый bootstrap/canary/старый ремонт. Текущий продукт работает по более позднему контуру; не оживлять старые инструкции.</x:v>
      </x:c>
      <x:c r="G16" s="40" t="str"/>
      <x:c r="H16" s="40" t="str">
        <x:v>https://github.com/anpavel84-afk/gobadminton-clean/issues/23</x:v>
      </x:c>
      <x:c r="I16" s="40" t="str">
        <x:v>Рекомендация; перед закрытием сверить остаточные эффекты</x:v>
      </x:c>
      <x:c r="J16" s="40" t="str">
        <x:v>Не применено</x:v>
      </x:c>
    </x:row>
    <x:row r="17" ht="66" customHeight="1">
      <x:c r="A17" s="40" t="n">
        <x:v>28</x:v>
      </x:c>
      <x:c r="B17" s="40" t="str">
        <x:v>Игры на общей карте площадок</x:v>
      </x:c>
      <x:c r="C17" s="40" t="str">
        <x:v>OPEN</x:v>
      </x:c>
      <x:c r="D17" s="40" t="str">
        <x:v>Технически выпущена</x:v>
      </x:c>
      <x:c r="E17" s="40" t="str">
        <x:v>Реестр поставленного / UAT</x:v>
      </x:c>
      <x:c r="F17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7" s="40" t="str">
        <x:v>51,79</x:v>
      </x:c>
      <x:c r="H17" s="40" t="str">
        <x:v>https://github.com/anpavel84-afk/gobadminton-clean/issues/28</x:v>
      </x:c>
      <x:c r="I17" s="40" t="str">
        <x:v>Высокая по Git ancestry; не финальная Owner-приёмка</x:v>
      </x:c>
      <x:c r="J17" s="40" t="str">
        <x:v>Не применено</x:v>
      </x:c>
    </x:row>
    <x:row r="18" ht="66" customHeight="1">
      <x:c r="A18" s="40" t="n">
        <x:v>29</x:v>
      </x:c>
      <x:c r="B18" s="40" t="str">
        <x:v>Автономный Issue → автор → QA → CI → DEV</x:v>
      </x:c>
      <x:c r="C18" s="40" t="str">
        <x:v>OPEN</x:v>
      </x:c>
      <x:c r="D18" s="40" t="str">
        <x:v>Парковка OPS</x:v>
      </x:c>
      <x:c r="E18" s="40" t="str">
        <x:v>#29 — только актуальный техостаток</x:v>
      </x:c>
      <x:c r="F18" s="40" t="str">
        <x:v>Оставить компактную актуальную техсводку. AGY Author не квалифицирован; PR393 — реальный кандидат. Продукт #386 не должен зависеть от этой парковки.</x:v>
      </x:c>
      <x:c r="G18" s="40" t="str"/>
      <x:c r="H18" s="40" t="str">
        <x:v>https://github.com/anpavel84-afk/gobadminton-clean/issues/29</x:v>
      </x:c>
      <x:c r="I18" s="40" t="str">
        <x:v>Рекомендация, не отмена истории/расходов</x:v>
      </x:c>
      <x:c r="J18" s="40" t="str">
        <x:v>Не применено</x:v>
      </x:c>
    </x:row>
    <x:row r="19" ht="52" customHeight="1">
      <x:c r="A19" s="40" t="n">
        <x:v>30</x:v>
      </x:c>
      <x:c r="B19" s="40" t="str">
        <x:v>Autonomy canary A</x:v>
      </x:c>
      <x:c r="C19" s="40" t="str">
        <x:v>OPEN</x:v>
      </x:c>
      <x:c r="D19" s="40" t="str">
        <x:v>История — не возобновлять</x:v>
      </x:c>
      <x:c r="E19" s="40" t="str">
        <x:v>Архив технических этапов</x:v>
      </x:c>
      <x:c r="F19" s="40" t="str">
        <x:v>Разовый bootstrap/canary/старый ремонт. Текущий продукт работает по более позднему контуру; не оживлять старые инструкции.</x:v>
      </x:c>
      <x:c r="G19" s="40" t="str"/>
      <x:c r="H19" s="40" t="str">
        <x:v>https://github.com/anpavel84-afk/gobadminton-clean/issues/30</x:v>
      </x:c>
      <x:c r="I19" s="40" t="str">
        <x:v>Рекомендация; перед закрытием сверить остаточные эффекты</x:v>
      </x:c>
      <x:c r="J19" s="40" t="str">
        <x:v>Не применено</x:v>
      </x:c>
    </x:row>
    <x:row r="20" ht="52" customHeight="1">
      <x:c r="A20" s="40" t="n">
        <x:v>31</x:v>
      </x:c>
      <x:c r="B20" s="40" t="str">
        <x:v>Autonomy canary B</x:v>
      </x:c>
      <x:c r="C20" s="40" t="str">
        <x:v>OPEN</x:v>
      </x:c>
      <x:c r="D20" s="40" t="str">
        <x:v>История — не возобновлять</x:v>
      </x:c>
      <x:c r="E20" s="40" t="str">
        <x:v>Архив технических этапов</x:v>
      </x:c>
      <x:c r="F20" s="40" t="str">
        <x:v>Разовый bootstrap/canary/старый ремонт. Текущий продукт работает по более позднему контуру; не оживлять старые инструкции.</x:v>
      </x:c>
      <x:c r="G20" s="40" t="str"/>
      <x:c r="H20" s="40" t="str">
        <x:v>https://github.com/anpavel84-afk/gobadminton-clean/issues/31</x:v>
      </x:c>
      <x:c r="I20" s="40" t="str">
        <x:v>Рекомендация; перед закрытием сверить остаточные эффекты</x:v>
      </x:c>
      <x:c r="J20" s="40" t="str">
        <x:v>Не применено</x:v>
      </x:c>
    </x:row>
    <x:row r="21" ht="66" customHeight="1">
      <x:c r="A21" s="40" t="n">
        <x:v>36</x:v>
      </x:c>
      <x:c r="B21" s="40" t="str">
        <x:v>Обложка профиля: загрузка и отображение</x:v>
      </x:c>
      <x:c r="C21" s="40" t="str">
        <x:v>OPEN</x:v>
      </x:c>
      <x:c r="D21" s="40" t="str">
        <x:v>Технически выпущена</x:v>
      </x:c>
      <x:c r="E21" s="40" t="str">
        <x:v>Реестр поставленного / UAT</x:v>
      </x:c>
      <x:c r="F21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21" s="40" t="str">
        <x:v>41,42,43,403</x:v>
      </x:c>
      <x:c r="H21" s="40" t="str">
        <x:v>https://github.com/anpavel84-afk/gobadminton-clean/issues/36</x:v>
      </x:c>
      <x:c r="I21" s="40" t="str">
        <x:v>Высокая по Git ancestry; не финальная Owner-приёмка</x:v>
      </x:c>
      <x:c r="J21" s="40" t="str">
        <x:v>Не применено</x:v>
      </x:c>
    </x:row>
    <x:row r="22" ht="66" customHeight="1">
      <x:c r="A22" s="40" t="n">
        <x:v>37</x:v>
      </x:c>
      <x:c r="B22" s="40" t="str">
        <x:v>Обложки площадок и default</x:v>
      </x:c>
      <x:c r="C22" s="40" t="str">
        <x:v>OPEN</x:v>
      </x:c>
      <x:c r="D22" s="40" t="str">
        <x:v>Технически выпущена</x:v>
      </x:c>
      <x:c r="E22" s="40" t="str">
        <x:v>Реестр поставленного / UAT</x:v>
      </x:c>
      <x:c r="F22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22" s="40" t="str">
        <x:v>45,427</x:v>
      </x:c>
      <x:c r="H22" s="40" t="str">
        <x:v>https://github.com/anpavel84-afk/gobadminton-clean/issues/37</x:v>
      </x:c>
      <x:c r="I22" s="40" t="str">
        <x:v>Высокая по Git ancestry; не финальная Owner-приёмка</x:v>
      </x:c>
      <x:c r="J22" s="40" t="str">
        <x:v>Не применено</x:v>
      </x:c>
    </x:row>
    <x:row r="23" ht="66" customHeight="1">
      <x:c r="A23" s="40" t="n">
        <x:v>46</x:v>
      </x:c>
      <x:c r="B23" s="40" t="str">
        <x:v>DEV Admin: доступ владельца</x:v>
      </x:c>
      <x:c r="C23" s="40" t="str">
        <x:v>OPEN</x:v>
      </x:c>
      <x:c r="D23" s="40" t="str">
        <x:v>Технически выпущена</x:v>
      </x:c>
      <x:c r="E23" s="40" t="str">
        <x:v>Реестр поставленного / UAT</x:v>
      </x:c>
      <x:c r="F23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23" s="40" t="str">
        <x:v>48,49,67</x:v>
      </x:c>
      <x:c r="H23" s="40" t="str">
        <x:v>https://github.com/anpavel84-afk/gobadminton-clean/issues/46</x:v>
      </x:c>
      <x:c r="I23" s="40" t="str">
        <x:v>Высокая по Git ancestry; не финальная Owner-приёмка</x:v>
      </x:c>
      <x:c r="J23" s="40" t="str">
        <x:v>Не применено</x:v>
      </x:c>
    </x:row>
    <x:row r="24" ht="66" customHeight="1">
      <x:c r="A24" s="40" t="n">
        <x:v>47</x:v>
      </x:c>
      <x:c r="B24" s="40" t="str">
        <x:v>Обложка игры / наследование от площадки</x:v>
      </x:c>
      <x:c r="C24" s="40" t="str">
        <x:v>OPEN</x:v>
      </x:c>
      <x:c r="D24" s="40" t="str">
        <x:v>Технически выпущена</x:v>
      </x:c>
      <x:c r="E24" s="40" t="str">
        <x:v>Реестр поставленного / UAT</x:v>
      </x:c>
      <x:c r="F24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24" s="40" t="str">
        <x:v>55,60</x:v>
      </x:c>
      <x:c r="H24" s="40" t="str">
        <x:v>https://github.com/anpavel84-afk/gobadminton-clean/issues/47</x:v>
      </x:c>
      <x:c r="I24" s="40" t="str">
        <x:v>Высокая по Git ancestry; не финальная Owner-приёмка</x:v>
      </x:c>
      <x:c r="J24" s="40" t="str">
        <x:v>Не применено</x:v>
      </x:c>
    </x:row>
    <x:row r="25" ht="66" customHeight="1">
      <x:c r="A25" s="40" t="n">
        <x:v>52</x:v>
      </x:c>
      <x:c r="B25" s="40" t="str">
        <x:v>Выравнивание выбора площадки</x:v>
      </x:c>
      <x:c r="C25" s="40" t="str">
        <x:v>OPEN</x:v>
      </x:c>
      <x:c r="D25" s="40" t="str">
        <x:v>Технически выпущена</x:v>
      </x:c>
      <x:c r="E25" s="40" t="str">
        <x:v>Реестр поставленного / UAT</x:v>
      </x:c>
      <x:c r="F25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25" s="40" t="str">
        <x:v>56</x:v>
      </x:c>
      <x:c r="H25" s="40" t="str">
        <x:v>https://github.com/anpavel84-afk/gobadminton-clean/issues/52</x:v>
      </x:c>
      <x:c r="I25" s="40" t="str">
        <x:v>Высокая по Git ancestry; не финальная Owner-приёмка</x:v>
      </x:c>
      <x:c r="J25" s="40" t="str">
        <x:v>Не применено</x:v>
      </x:c>
    </x:row>
    <x:row r="26" ht="80" customHeight="1">
      <x:c r="A26" s="40" t="n">
        <x:v>53</x:v>
      </x:c>
      <x:c r="B26" s="40" t="str">
        <x:v>Исследование реальных фото площадок</x:v>
      </x:c>
      <x:c r="C26" s="40" t="str">
        <x:v>OPEN</x:v>
      </x:c>
      <x:c r="D26" s="40" t="str">
        <x:v>Заменена — свернуть</x:v>
      </x:c>
      <x:c r="E26" s="40" t="str">
        <x:v>#422</x:v>
      </x:c>
      <x:c r="F26" s="40" t="str">
        <x:v>99 источников уже исследованы. Не повторять тот же сбор; фото и проверка идентичности/публикации продолжаются в #422. Старый запрет «ждём разрешений всех клубов» заменён Owner-подтверждением 31.10 в указанном объёме.</x:v>
      </x:c>
      <x:c r="G26" s="40" t="str">
        <x:v>Owner comment 6542356545</x:v>
      </x:c>
      <x:c r="H26" s="40" t="str">
        <x:v>https://github.com/anpavel84-afk/gobadminton-clean/issues/53</x:v>
      </x:c>
      <x:c r="I26" s="40" t="str">
        <x:v>Высокая: source leads и последующее Owner-решение</x:v>
      </x:c>
      <x:c r="J26" s="40" t="str">
        <x:v>Не применено</x:v>
      </x:c>
    </x:row>
    <x:row r="27" ht="66" customHeight="1">
      <x:c r="A27" s="40" t="n">
        <x:v>54</x:v>
      </x:c>
      <x:c r="B27" s="40" t="str">
        <x:v>Мобильное переполнение карты</x:v>
      </x:c>
      <x:c r="C27" s="40" t="str">
        <x:v>OPEN</x:v>
      </x:c>
      <x:c r="D27" s="40" t="str">
        <x:v>Технически выпущена</x:v>
      </x:c>
      <x:c r="E27" s="40" t="str">
        <x:v>Реестр поставленного / UAT</x:v>
      </x:c>
      <x:c r="F27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27" s="40" t="str">
        <x:v>58</x:v>
      </x:c>
      <x:c r="H27" s="40" t="str">
        <x:v>https://github.com/anpavel84-afk/gobadminton-clean/issues/54</x:v>
      </x:c>
      <x:c r="I27" s="40" t="str">
        <x:v>Высокая по Git ancestry; не финальная Owner-приёмка</x:v>
      </x:c>
      <x:c r="J27" s="40" t="str">
        <x:v>Не применено</x:v>
      </x:c>
    </x:row>
    <x:row r="28" ht="66" customHeight="1">
      <x:c r="A28" s="40" t="n">
        <x:v>57</x:v>
      </x:c>
      <x:c r="B28" s="40" t="str">
        <x:v>Регрессия создания и preview фото игры</x:v>
      </x:c>
      <x:c r="C28" s="40" t="str">
        <x:v>OPEN</x:v>
      </x:c>
      <x:c r="D28" s="40" t="str">
        <x:v>Технически выпущена</x:v>
      </x:c>
      <x:c r="E28" s="40" t="str">
        <x:v>Реестр поставленного / UAT</x:v>
      </x:c>
      <x:c r="F28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28" s="40" t="str">
        <x:v>60</x:v>
      </x:c>
      <x:c r="H28" s="40" t="str">
        <x:v>https://github.com/anpavel84-afk/gobadminton-clean/issues/57</x:v>
      </x:c>
      <x:c r="I28" s="40" t="str">
        <x:v>Высокая по Git ancestry; не финальная Owner-приёмка</x:v>
      </x:c>
      <x:c r="J28" s="40" t="str">
        <x:v>Не применено</x:v>
      </x:c>
    </x:row>
    <x:row r="29" ht="66" customHeight="1">
      <x:c r="A29" s="40" t="n">
        <x:v>61</x:v>
      </x:c>
      <x:c r="B29" s="40" t="str">
        <x:v>Убрать россыпь площадок под картой</x:v>
      </x:c>
      <x:c r="C29" s="40" t="str">
        <x:v>OPEN</x:v>
      </x:c>
      <x:c r="D29" s="40" t="str">
        <x:v>Технически выпущена</x:v>
      </x:c>
      <x:c r="E29" s="40" t="str">
        <x:v>Реестр поставленного / UAT</x:v>
      </x:c>
      <x:c r="F29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29" s="40" t="str">
        <x:v>63</x:v>
      </x:c>
      <x:c r="H29" s="40" t="str">
        <x:v>https://github.com/anpavel84-afk/gobadminton-clean/issues/61</x:v>
      </x:c>
      <x:c r="I29" s="40" t="str">
        <x:v>Высокая по Git ancestry; не финальная Owner-приёмка</x:v>
      </x:c>
      <x:c r="J29" s="40" t="str">
        <x:v>Не применено</x:v>
      </x:c>
    </x:row>
    <x:row r="30" ht="66" customHeight="1">
      <x:c r="A30" s="40" t="n">
        <x:v>62</x:v>
      </x:c>
      <x:c r="B30" s="40" t="str">
        <x:v>Вход «Все игры на карте»</x:v>
      </x:c>
      <x:c r="C30" s="40" t="str">
        <x:v>OPEN</x:v>
      </x:c>
      <x:c r="D30" s="40" t="str">
        <x:v>Технически выпущена</x:v>
      </x:c>
      <x:c r="E30" s="40" t="str">
        <x:v>Реестр поставленного / UAT</x:v>
      </x:c>
      <x:c r="F30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30" s="40" t="str">
        <x:v>65,447</x:v>
      </x:c>
      <x:c r="H30" s="40" t="str">
        <x:v>https://github.com/anpavel84-afk/gobadminton-clean/issues/62</x:v>
      </x:c>
      <x:c r="I30" s="40" t="str">
        <x:v>Высокая по Git ancestry; не финальная Owner-приёмка</x:v>
      </x:c>
      <x:c r="J30" s="40" t="str">
        <x:v>Не применено</x:v>
      </x:c>
    </x:row>
    <x:row r="31" ht="66" customHeight="1">
      <x:c r="A31" s="40" t="n">
        <x:v>64</x:v>
      </x:c>
      <x:c r="B31" s="40" t="str">
        <x:v>Admin: редактирование площадок и обложек</x:v>
      </x:c>
      <x:c r="C31" s="40" t="str">
        <x:v>OPEN</x:v>
      </x:c>
      <x:c r="D31" s="40" t="str">
        <x:v>Технически выпущена</x:v>
      </x:c>
      <x:c r="E31" s="40" t="str">
        <x:v>Реестр поставленного / UAT</x:v>
      </x:c>
      <x:c r="F31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31" s="40" t="str">
        <x:v>67,210,427</x:v>
      </x:c>
      <x:c r="H31" s="40" t="str">
        <x:v>https://github.com/anpavel84-afk/gobadminton-clean/issues/64</x:v>
      </x:c>
      <x:c r="I31" s="40" t="str">
        <x:v>Высокая по Git ancestry; не финальная Owner-приёмка</x:v>
      </x:c>
      <x:c r="J31" s="40" t="str">
        <x:v>Не применено</x:v>
      </x:c>
    </x:row>
    <x:row r="32" ht="66" customHeight="1">
      <x:c r="A32" s="40" t="n">
        <x:v>66</x:v>
      </x:c>
      <x:c r="B32" s="40" t="str">
        <x:v>Карта сжимается на низком экране</x:v>
      </x:c>
      <x:c r="C32" s="40" t="str">
        <x:v>OPEN</x:v>
      </x:c>
      <x:c r="D32" s="40" t="str">
        <x:v>Технически выпущена</x:v>
      </x:c>
      <x:c r="E32" s="40" t="str">
        <x:v>Реестр поставленного / UAT</x:v>
      </x:c>
      <x:c r="F32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32" s="40" t="str">
        <x:v>70,72</x:v>
      </x:c>
      <x:c r="H32" s="40" t="str">
        <x:v>https://github.com/anpavel84-afk/gobadminton-clean/issues/66</x:v>
      </x:c>
      <x:c r="I32" s="40" t="str">
        <x:v>Высокая по Git ancestry; не финальная Owner-приёмка</x:v>
      </x:c>
      <x:c r="J32" s="40" t="str">
        <x:v>Не применено</x:v>
      </x:c>
    </x:row>
    <x:row r="33" ht="42" customHeight="1">
      <x:c r="A33" s="40" t="n">
        <x:v>68</x:v>
      </x:c>
      <x:c r="B33" s="40" t="str">
        <x:v>Единая полноэкранная карта, вариант 3</x:v>
      </x:c>
      <x:c r="C33" s="40" t="str">
        <x:v>CLOSED</x:v>
      </x:c>
      <x:c r="D33" s="40" t="str">
        <x:v>Уже закрыта — архив</x:v>
      </x:c>
      <x:c r="E33" s="40" t="str">
        <x:v>История, не в очереди</x:v>
      </x:c>
      <x:c r="F33" s="40" t="str">
        <x:v>Исторически закрытая запись. Не переоткрывать при переносе бэклога.</x:v>
      </x:c>
      <x:c r="G33" s="40" t="str"/>
      <x:c r="H33" s="40" t="str">
        <x:v>https://github.com/anpavel84-afk/gobadminton-clean/issues/68</x:v>
      </x:c>
      <x:c r="I33" s="40" t="str">
        <x:v>Высокая: состояние GitHub</x:v>
      </x:c>
      <x:c r="J33" s="40" t="str">
        <x:v>Не применено</x:v>
      </x:c>
    </x:row>
    <x:row r="34" ht="52" customHeight="1">
      <x:c r="A34" s="40" t="n">
        <x:v>69</x:v>
      </x:c>
      <x:c r="B34" s="40" t="str">
        <x:v>Watchdog и SMTP-уведомления о train</x:v>
      </x:c>
      <x:c r="C34" s="40" t="str">
        <x:v>OPEN</x:v>
      </x:c>
      <x:c r="D34" s="40" t="str">
        <x:v>Парковка OPS</x:v>
      </x:c>
      <x:c r="E34" s="40" t="str">
        <x:v>#29 — только актуальный техостаток</x:v>
      </x:c>
      <x:c r="F34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34" s="40" t="str"/>
      <x:c r="H34" s="40" t="str">
        <x:v>https://github.com/anpavel84-afk/gobadminton-clean/issues/69</x:v>
      </x:c>
      <x:c r="I34" s="40" t="str">
        <x:v>Рекомендация; runtime-гейты не снимались</x:v>
      </x:c>
      <x:c r="J34" s="40" t="str">
        <x:v>Не применено</x:v>
      </x:c>
    </x:row>
    <x:row r="35" ht="42" customHeight="1">
      <x:c r="A35" s="40" t="n">
        <x:v>71</x:v>
      </x:c>
      <x:c r="B35" s="40" t="str">
        <x:v>Исправить web lint для #66</x:v>
      </x:c>
      <x:c r="C35" s="40" t="str">
        <x:v>CLOSED</x:v>
      </x:c>
      <x:c r="D35" s="40" t="str">
        <x:v>Уже закрыта — архив</x:v>
      </x:c>
      <x:c r="E35" s="40" t="str">
        <x:v>История, не в очереди</x:v>
      </x:c>
      <x:c r="F35" s="40" t="str">
        <x:v>Исторически закрытая запись. Не переоткрывать при переносе бэклога.</x:v>
      </x:c>
      <x:c r="G35" s="40" t="str"/>
      <x:c r="H35" s="40" t="str">
        <x:v>https://github.com/anpavel84-afk/gobadminton-clean/issues/71</x:v>
      </x:c>
      <x:c r="I35" s="40" t="str">
        <x:v>Высокая: состояние GitHub</x:v>
      </x:c>
      <x:c r="J35" s="40" t="str">
        <x:v>Не применено</x:v>
      </x:c>
    </x:row>
    <x:row r="36" ht="42" customHeight="1">
      <x:c r="A36" s="40" t="n">
        <x:v>76</x:v>
      </x:c>
      <x:c r="B36" s="40" t="str">
        <x:v>Radar на общей карте, преемник #68</x:v>
      </x:c>
      <x:c r="C36" s="40" t="str">
        <x:v>CLOSED</x:v>
      </x:c>
      <x:c r="D36" s="40" t="str">
        <x:v>Уже закрыта — архив</x:v>
      </x:c>
      <x:c r="E36" s="40" t="str">
        <x:v>История, не в очереди</x:v>
      </x:c>
      <x:c r="F36" s="40" t="str">
        <x:v>Исторически закрытая запись. Не переоткрывать при переносе бэклога.</x:v>
      </x:c>
      <x:c r="G36" s="40" t="str"/>
      <x:c r="H36" s="40" t="str">
        <x:v>https://github.com/anpavel84-afk/gobadminton-clean/issues/76</x:v>
      </x:c>
      <x:c r="I36" s="40" t="str">
        <x:v>Высокая: состояние GitHub</x:v>
      </x:c>
      <x:c r="J36" s="40" t="str">
        <x:v>Не применено</x:v>
      </x:c>
    </x:row>
    <x:row r="37" ht="66" customHeight="1">
      <x:c r="A37" s="40" t="n">
        <x:v>78</x:v>
      </x:c>
      <x:c r="B37" s="40" t="str">
        <x:v>Преемник #76: web lint и A1 tests</x:v>
      </x:c>
      <x:c r="C37" s="40" t="str">
        <x:v>OPEN</x:v>
      </x:c>
      <x:c r="D37" s="40" t="str">
        <x:v>Технически выпущена</x:v>
      </x:c>
      <x:c r="E37" s="40" t="str">
        <x:v>Реестр поставленного / UAT</x:v>
      </x:c>
      <x:c r="F37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37" s="40" t="str">
        <x:v>79</x:v>
      </x:c>
      <x:c r="H37" s="40" t="str">
        <x:v>https://github.com/anpavel84-afk/gobadminton-clean/issues/78</x:v>
      </x:c>
      <x:c r="I37" s="40" t="str">
        <x:v>Высокая по Git ancestry; не финальная Owner-приёмка</x:v>
      </x:c>
      <x:c r="J37" s="40" t="str">
        <x:v>Не применено</x:v>
      </x:c>
    </x:row>
    <x:row r="38" ht="42" customHeight="1">
      <x:c r="A38" s="40" t="n">
        <x:v>80</x:v>
      </x:c>
      <x:c r="B38" s="40" t="str">
        <x:v>Post-game T0a: контакты площадки и доставка</x:v>
      </x:c>
      <x:c r="C38" s="40" t="str">
        <x:v>CLOSED</x:v>
      </x:c>
      <x:c r="D38" s="40" t="str">
        <x:v>Уже закрыта — архив</x:v>
      </x:c>
      <x:c r="E38" s="40" t="str">
        <x:v>История, не в очереди</x:v>
      </x:c>
      <x:c r="F38" s="40" t="str">
        <x:v>Исторически закрытая запись. Не переоткрывать при переносе бэклога.</x:v>
      </x:c>
      <x:c r="G38" s="40" t="str"/>
      <x:c r="H38" s="40" t="str">
        <x:v>https://github.com/anpavel84-afk/gobadminton-clean/issues/80</x:v>
      </x:c>
      <x:c r="I38" s="40" t="str">
        <x:v>Высокая: состояние GitHub</x:v>
      </x:c>
      <x:c r="J38" s="40" t="str">
        <x:v>Не применено</x:v>
      </x:c>
    </x:row>
    <x:row r="39" ht="66" customHeight="1">
      <x:c r="A39" s="40" t="n">
        <x:v>82</x:v>
      </x:c>
      <x:c r="B39" s="40" t="str">
        <x:v>Контакты площадки: ролевой API</x:v>
      </x:c>
      <x:c r="C39" s="40" t="str">
        <x:v>OPEN</x:v>
      </x:c>
      <x:c r="D39" s="40" t="str">
        <x:v>Технически выпущена</x:v>
      </x:c>
      <x:c r="E39" s="40" t="str">
        <x:v>Реестр поставленного / UAT</x:v>
      </x:c>
      <x:c r="F39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39" s="40" t="str">
        <x:v>83,272</x:v>
      </x:c>
      <x:c r="H39" s="40" t="str">
        <x:v>https://github.com/anpavel84-afk/gobadminton-clean/issues/82</x:v>
      </x:c>
      <x:c r="I39" s="40" t="str">
        <x:v>Высокая по Git ancestry; не финальная Owner-приёмка</x:v>
      </x:c>
      <x:c r="J39" s="40" t="str">
        <x:v>Не применено</x:v>
      </x:c>
    </x:row>
    <x:row r="40" ht="66" customHeight="1">
      <x:c r="A40" s="40" t="n">
        <x:v>84</x:v>
      </x:c>
      <x:c r="B40" s="40" t="str">
        <x:v>Восстановить подложку карты</x:v>
      </x:c>
      <x:c r="C40" s="40" t="str">
        <x:v>OPEN</x:v>
      </x:c>
      <x:c r="D40" s="40" t="str">
        <x:v>Технически выпущена</x:v>
      </x:c>
      <x:c r="E40" s="40" t="str">
        <x:v>Реестр поставленного / UAT</x:v>
      </x:c>
      <x:c r="F40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40" s="40" t="str">
        <x:v>85,99,103</x:v>
      </x:c>
      <x:c r="H40" s="40" t="str">
        <x:v>https://github.com/anpavel84-afk/gobadminton-clean/issues/84</x:v>
      </x:c>
      <x:c r="I40" s="40" t="str">
        <x:v>Высокая по Git ancestry; не финальная Owner-приёмка</x:v>
      </x:c>
      <x:c r="J40" s="40" t="str">
        <x:v>Не применено</x:v>
      </x:c>
    </x:row>
    <x:row r="41" ht="42" customHeight="1">
      <x:c r="A41" s="40" t="n">
        <x:v>86</x:v>
      </x:c>
      <x:c r="B41" s="40" t="str">
        <x:v>M1: полноэкранная карта и маркеры</x:v>
      </x:c>
      <x:c r="C41" s="40" t="str">
        <x:v>CLOSED</x:v>
      </x:c>
      <x:c r="D41" s="40" t="str">
        <x:v>Уже закрыта — архив</x:v>
      </x:c>
      <x:c r="E41" s="40" t="str">
        <x:v>История, не в очереди</x:v>
      </x:c>
      <x:c r="F41" s="40" t="str">
        <x:v>Исторически закрытая запись. Не переоткрывать при переносе бэклога.</x:v>
      </x:c>
      <x:c r="G41" s="40" t="str"/>
      <x:c r="H41" s="40" t="str">
        <x:v>https://github.com/anpavel84-afk/gobadminton-clean/issues/86</x:v>
      </x:c>
      <x:c r="I41" s="40" t="str">
        <x:v>Высокая: состояние GitHub</x:v>
      </x:c>
      <x:c r="J41" s="40" t="str">
        <x:v>Не применено</x:v>
      </x:c>
    </x:row>
    <x:row r="42" ht="42" customHeight="1">
      <x:c r="A42" s="40" t="n">
        <x:v>88</x:v>
      </x:c>
      <x:c r="B42" s="40" t="str">
        <x:v>M1b: фокус, возврат, геометрия</x:v>
      </x:c>
      <x:c r="C42" s="40" t="str">
        <x:v>CLOSED</x:v>
      </x:c>
      <x:c r="D42" s="40" t="str">
        <x:v>Уже закрыта — архив</x:v>
      </x:c>
      <x:c r="E42" s="40" t="str">
        <x:v>История, не в очереди</x:v>
      </x:c>
      <x:c r="F42" s="40" t="str">
        <x:v>Исторически закрытая запись. Не переоткрывать при переносе бэклога.</x:v>
      </x:c>
      <x:c r="G42" s="40" t="str"/>
      <x:c r="H42" s="40" t="str">
        <x:v>https://github.com/anpavel84-afk/gobadminton-clean/issues/88</x:v>
      </x:c>
      <x:c r="I42" s="40" t="str">
        <x:v>Высокая: состояние GitHub</x:v>
      </x:c>
      <x:c r="J42" s="40" t="str">
        <x:v>Не применено</x:v>
      </x:c>
    </x:row>
    <x:row r="43" ht="42" customHeight="1">
      <x:c r="A43" s="40" t="n">
        <x:v>90</x:v>
      </x:c>
      <x:c r="B43" s="40" t="str">
        <x:v>M1c: кнопка К списку</x:v>
      </x:c>
      <x:c r="C43" s="40" t="str">
        <x:v>CLOSED</x:v>
      </x:c>
      <x:c r="D43" s="40" t="str">
        <x:v>Уже закрыта — архив</x:v>
      </x:c>
      <x:c r="E43" s="40" t="str">
        <x:v>История, не в очереди</x:v>
      </x:c>
      <x:c r="F43" s="40" t="str">
        <x:v>Исторически закрытая запись. Не переоткрывать при переносе бэклога.</x:v>
      </x:c>
      <x:c r="G43" s="40" t="str"/>
      <x:c r="H43" s="40" t="str">
        <x:v>https://github.com/anpavel84-afk/gobadminton-clean/issues/90</x:v>
      </x:c>
      <x:c r="I43" s="40" t="str">
        <x:v>Высокая: состояние GitHub</x:v>
      </x:c>
      <x:c r="J43" s="40" t="str">
        <x:v>Не применено</x:v>
      </x:c>
    </x:row>
    <x:row r="44" ht="66" customHeight="1">
      <x:c r="A44" s="40" t="n">
        <x:v>92</x:v>
      </x:c>
      <x:c r="B44" s="40" t="str">
        <x:v>M1e: завершить К списку и раскладку</x:v>
      </x:c>
      <x:c r="C44" s="40" t="str">
        <x:v>OPEN</x:v>
      </x:c>
      <x:c r="D44" s="40" t="str">
        <x:v>Технически выпущена</x:v>
      </x:c>
      <x:c r="E44" s="40" t="str">
        <x:v>Реестр поставленного / UAT</x:v>
      </x:c>
      <x:c r="F44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44" s="40" t="str">
        <x:v>93</x:v>
      </x:c>
      <x:c r="H44" s="40" t="str">
        <x:v>https://github.com/anpavel84-afk/gobadminton-clean/issues/92</x:v>
      </x:c>
      <x:c r="I44" s="40" t="str">
        <x:v>Высокая по Git ancestry; не финальная Owner-приёмка</x:v>
      </x:c>
      <x:c r="J44" s="40" t="str">
        <x:v>Не применено</x:v>
      </x:c>
    </x:row>
    <x:row r="45" ht="52" customHeight="1">
      <x:c r="A45" s="40" t="n">
        <x:v>94</x:v>
      </x:c>
      <x:c r="B45" s="40" t="str">
        <x:v>Маркеры: состояния и пересекающиеся точки</x:v>
      </x:c>
      <x:c r="C45" s="40" t="str">
        <x:v>OPEN</x:v>
      </x:c>
      <x:c r="D45" s="40" t="str">
        <x:v>Заменена — свернуть</x:v>
      </x:c>
      <x:c r="E45" s="40" t="str">
        <x:v>#445</x:v>
      </x:c>
      <x:c r="F45" s="40" t="str">
        <x:v>Маркеры уже менялись в #184/PR353. Не сливать старый PR95: перенести только воспроизведённый остаток в текущую проверку карты.</x:v>
      </x:c>
      <x:c r="G45" s="40" t="str"/>
      <x:c r="H45" s="40" t="str">
        <x:v>https://github.com/anpavel84-afk/gobadminton-clean/issues/94</x:v>
      </x:c>
      <x:c r="I45" s="40" t="str">
        <x:v>Высокая по lineage; остаток не переносить вслепую</x:v>
      </x:c>
      <x:c r="J45" s="40" t="str">
        <x:v>Не применено</x:v>
      </x:c>
    </x:row>
    <x:row r="46" ht="52" customHeight="1">
      <x:c r="A46" s="40" t="n">
        <x:v>96</x:v>
      </x:c>
      <x:c r="B46" s="40" t="str">
        <x:v>iPhone: жизненный цикл карты и mapdebug</x:v>
      </x:c>
      <x:c r="C46" s="40" t="str">
        <x:v>OPEN</x:v>
      </x:c>
      <x:c r="D46" s="40" t="str">
        <x:v>Заменена — свернуть</x:v>
      </x:c>
      <x:c r="E46" s="40" t="str">
        <x:v>#445</x:v>
      </x:c>
      <x:c r="F46" s="40" t="str">
        <x:v>Работа продолжена в #98/PR99 и более поздних map-патчах; старый PR97 не запускать повторно.</x:v>
      </x:c>
      <x:c r="G46" s="40" t="str"/>
      <x:c r="H46" s="40" t="str">
        <x:v>https://github.com/anpavel84-afk/gobadminton-clean/issues/96</x:v>
      </x:c>
      <x:c r="I46" s="40" t="str">
        <x:v>Высокая по lineage; остаток не переносить вслепую</x:v>
      </x:c>
      <x:c r="J46" s="40" t="str">
        <x:v>Не применено</x:v>
      </x:c>
    </x:row>
    <x:row r="47" ht="66" customHeight="1">
      <x:c r="A47" s="40" t="n">
        <x:v>98</x:v>
      </x:c>
      <x:c r="B47" s="40" t="str">
        <x:v>iPhone: WebGL, resize, сбои данных</x:v>
      </x:c>
      <x:c r="C47" s="40" t="str">
        <x:v>OPEN</x:v>
      </x:c>
      <x:c r="D47" s="40" t="str">
        <x:v>Технически выпущена</x:v>
      </x:c>
      <x:c r="E47" s="40" t="str">
        <x:v>Реестр поставленного / UAT</x:v>
      </x:c>
      <x:c r="F47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47" s="40" t="str">
        <x:v>99</x:v>
      </x:c>
      <x:c r="H47" s="40" t="str">
        <x:v>https://github.com/anpavel84-afk/gobadminton-clean/issues/98</x:v>
      </x:c>
      <x:c r="I47" s="40" t="str">
        <x:v>Высокая по Git ancestry; не финальная Owner-приёмка</x:v>
      </x:c>
      <x:c r="J47" s="40" t="str">
        <x:v>Не применено</x:v>
      </x:c>
    </x:row>
    <x:row r="48" ht="66" customHeight="1">
      <x:c r="A48" s="40" t="n">
        <x:v>101</x:v>
      </x:c>
      <x:c r="B48" s="40" t="str">
        <x:v>Убрать непрозрачный слой карты</x:v>
      </x:c>
      <x:c r="C48" s="40" t="str">
        <x:v>OPEN</x:v>
      </x:c>
      <x:c r="D48" s="40" t="str">
        <x:v>Технически выпущена</x:v>
      </x:c>
      <x:c r="E48" s="40" t="str">
        <x:v>Реестр поставленного / UAT</x:v>
      </x:c>
      <x:c r="F48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48" s="40" t="str">
        <x:v>103</x:v>
      </x:c>
      <x:c r="H48" s="40" t="str">
        <x:v>https://github.com/anpavel84-afk/gobadminton-clean/issues/101</x:v>
      </x:c>
      <x:c r="I48" s="40" t="str">
        <x:v>Высокая по Git ancestry; не финальная Owner-приёмка</x:v>
      </x:c>
      <x:c r="J48" s="40" t="str">
        <x:v>Не применено</x:v>
      </x:c>
    </x:row>
    <x:row r="49" ht="66" customHeight="1">
      <x:c r="A49" s="40" t="n">
        <x:v>104</x:v>
      </x:c>
      <x:c r="B49" s="40" t="str">
        <x:v>Default-обложки по типу игры</x:v>
      </x:c>
      <x:c r="C49" s="40" t="str">
        <x:v>OPEN</x:v>
      </x:c>
      <x:c r="D49" s="40" t="str">
        <x:v>Технически выпущена</x:v>
      </x:c>
      <x:c r="E49" s="40" t="str">
        <x:v>Реестр поставленного / UAT</x:v>
      </x:c>
      <x:c r="F49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49" s="40" t="str">
        <x:v>105,430</x:v>
      </x:c>
      <x:c r="H49" s="40" t="str">
        <x:v>https://github.com/anpavel84-afk/gobadminton-clean/issues/104</x:v>
      </x:c>
      <x:c r="I49" s="40" t="str">
        <x:v>Высокая по Git ancestry; не финальная Owner-приёмка</x:v>
      </x:c>
      <x:c r="J49" s="40" t="str">
        <x:v>Не применено</x:v>
      </x:c>
    </x:row>
    <x:row r="50" ht="66" customHeight="1">
      <x:c r="A50" s="40" t="n">
        <x:v>106</x:v>
      </x:c>
      <x:c r="B50" s="40" t="str">
        <x:v>Источник обложки: фото/логотип/иллюстрация</x:v>
      </x:c>
      <x:c r="C50" s="40" t="str">
        <x:v>OPEN</x:v>
      </x:c>
      <x:c r="D50" s="40" t="str">
        <x:v>Технически выпущена</x:v>
      </x:c>
      <x:c r="E50" s="40" t="str">
        <x:v>Реестр поставленного / UAT</x:v>
      </x:c>
      <x:c r="F50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50" s="40" t="str">
        <x:v>107,427</x:v>
      </x:c>
      <x:c r="H50" s="40" t="str">
        <x:v>https://github.com/anpavel84-afk/gobadminton-clean/issues/106</x:v>
      </x:c>
      <x:c r="I50" s="40" t="str">
        <x:v>Высокая по Git ancestry; не финальная Owner-приёмка</x:v>
      </x:c>
      <x:c r="J50" s="40" t="str">
        <x:v>Не применено</x:v>
      </x:c>
    </x:row>
    <x:row r="51" ht="66" customHeight="1">
      <x:c r="A51" s="40" t="n">
        <x:v>108</x:v>
      </x:c>
      <x:c r="B51" s="40" t="str">
        <x:v>Новые иконки нижнего меню</x:v>
      </x:c>
      <x:c r="C51" s="40" t="str">
        <x:v>OPEN</x:v>
      </x:c>
      <x:c r="D51" s="40" t="str">
        <x:v>Технически выпущена</x:v>
      </x:c>
      <x:c r="E51" s="40" t="str">
        <x:v>Реестр поставленного / UAT</x:v>
      </x:c>
      <x:c r="F51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51" s="40" t="str">
        <x:v>110,139</x:v>
      </x:c>
      <x:c r="H51" s="40" t="str">
        <x:v>https://github.com/anpavel84-afk/gobadminton-clean/issues/108</x:v>
      </x:c>
      <x:c r="I51" s="40" t="str">
        <x:v>Высокая по Git ancestry; не финальная Owner-приёмка</x:v>
      </x:c>
      <x:c r="J51" s="40" t="str">
        <x:v>Не применено</x:v>
      </x:c>
    </x:row>
    <x:row r="52" ht="66" customHeight="1">
      <x:c r="A52" s="40" t="n">
        <x:v>109</x:v>
      </x:c>
      <x:c r="B52" s="40" t="str">
        <x:v>Импорт 20 обложек площадок</x:v>
      </x:c>
      <x:c r="C52" s="40" t="str">
        <x:v>OPEN</x:v>
      </x:c>
      <x:c r="D52" s="40" t="str">
        <x:v>Технически выпущена</x:v>
      </x:c>
      <x:c r="E52" s="40" t="str">
        <x:v>Реестр поставленного / UAT</x:v>
      </x:c>
      <x:c r="F52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52" s="40" t="str">
        <x:v>111,428</x:v>
      </x:c>
      <x:c r="H52" s="40" t="str">
        <x:v>https://github.com/anpavel84-afk/gobadminton-clean/issues/109</x:v>
      </x:c>
      <x:c r="I52" s="40" t="str">
        <x:v>Высокая по Git ancestry; не финальная Owner-приёмка</x:v>
      </x:c>
      <x:c r="J52" s="40" t="str">
        <x:v>Не применено</x:v>
      </x:c>
    </x:row>
    <x:row r="53" ht="66" customHeight="1">
      <x:c r="A53" s="40" t="n">
        <x:v>112</x:v>
      </x:c>
      <x:c r="B53" s="40" t="str">
        <x:v>Карточка по тапу маркера без перехода</x:v>
      </x:c>
      <x:c r="C53" s="40" t="str">
        <x:v>OPEN</x:v>
      </x:c>
      <x:c r="D53" s="40" t="str">
        <x:v>Технически выпущена</x:v>
      </x:c>
      <x:c r="E53" s="40" t="str">
        <x:v>Реестр поставленного / UAT</x:v>
      </x:c>
      <x:c r="F53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53" s="40" t="str">
        <x:v>113,128,366</x:v>
      </x:c>
      <x:c r="H53" s="40" t="str">
        <x:v>https://github.com/anpavel84-afk/gobadminton-clean/issues/112</x:v>
      </x:c>
      <x:c r="I53" s="40" t="str">
        <x:v>Высокая по Git ancestry; не финальная Owner-приёмка</x:v>
      </x:c>
      <x:c r="J53" s="40" t="str">
        <x:v>Не применено</x:v>
      </x:c>
    </x:row>
    <x:row r="54" ht="66" customHeight="1">
      <x:c r="A54" s="40" t="n">
        <x:v>114</x:v>
      </x:c>
      <x:c r="B54" s="40" t="str">
        <x:v>Не вызывать Admin API для гостей</x:v>
      </x:c>
      <x:c r="C54" s="40" t="str">
        <x:v>OPEN</x:v>
      </x:c>
      <x:c r="D54" s="40" t="str">
        <x:v>Технически выпущена</x:v>
      </x:c>
      <x:c r="E54" s="40" t="str">
        <x:v>Реестр поставленного / UAT</x:v>
      </x:c>
      <x:c r="F54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54" s="40" t="str">
        <x:v>118</x:v>
      </x:c>
      <x:c r="H54" s="40" t="str">
        <x:v>https://github.com/anpavel84-afk/gobadminton-clean/issues/114</x:v>
      </x:c>
      <x:c r="I54" s="40" t="str">
        <x:v>Высокая по Git ancestry; не финальная Owner-приёмка</x:v>
      </x:c>
      <x:c r="J54" s="40" t="str">
        <x:v>Не применено</x:v>
      </x:c>
    </x:row>
    <x:row r="55" ht="42" customHeight="1">
      <x:c r="A55" s="40" t="n">
        <x:v>117</x:v>
      </x:c>
      <x:c r="B55" s="40" t="str">
        <x:v>M3: раскрытый попап площадки</x:v>
      </x:c>
      <x:c r="C55" s="40" t="str">
        <x:v>OPEN</x:v>
      </x:c>
      <x:c r="D55" s="40" t="str">
        <x:v>Заменена — свернуть</x:v>
      </x:c>
      <x:c r="E55" s="40" t="str">
        <x:v>#127</x:v>
      </x:c>
      <x:c r="F55" s="40" t="str">
        <x:v>Попап реализован преемником #127/PR128 и последующими #156/#365.</x:v>
      </x:c>
      <x:c r="G55" s="40" t="str"/>
      <x:c r="H55" s="40" t="str">
        <x:v>https://github.com/anpavel84-afk/gobadminton-clean/issues/117</x:v>
      </x:c>
      <x:c r="I55" s="40" t="str">
        <x:v>Высокая по lineage; остаток не переносить вслепую</x:v>
      </x:c>
      <x:c r="J55" s="40" t="str">
        <x:v>Не применено</x:v>
      </x:c>
    </x:row>
    <x:row r="56" ht="66" customHeight="1">
      <x:c r="A56" s="40" t="n">
        <x:v>127</x:v>
      </x:c>
      <x:c r="B56" s="40" t="str">
        <x:v>M3 v8: преемник #117</x:v>
      </x:c>
      <x:c r="C56" s="40" t="str">
        <x:v>OPEN</x:v>
      </x:c>
      <x:c r="D56" s="40" t="str">
        <x:v>Технически выпущена</x:v>
      </x:c>
      <x:c r="E56" s="40" t="str">
        <x:v>Реестр поставленного / UAT</x:v>
      </x:c>
      <x:c r="F56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56" s="40" t="str">
        <x:v>128,166,366</x:v>
      </x:c>
      <x:c r="H56" s="40" t="str">
        <x:v>https://github.com/anpavel84-afk/gobadminton-clean/issues/127</x:v>
      </x:c>
      <x:c r="I56" s="40" t="str">
        <x:v>Высокая по Git ancestry; не финальная Owner-приёмка</x:v>
      </x:c>
      <x:c r="J56" s="40" t="str">
        <x:v>Не применено</x:v>
      </x:c>
    </x:row>
    <x:row r="57" ht="66" customHeight="1">
      <x:c r="A57" s="40" t="n">
        <x:v>131</x:v>
      </x:c>
      <x:c r="B57" s="40" t="str">
        <x:v>M3: исправить три CI-падения</x:v>
      </x:c>
      <x:c r="C57" s="40" t="str">
        <x:v>OPEN</x:v>
      </x:c>
      <x:c r="D57" s="40" t="str">
        <x:v>Технически выпущена</x:v>
      </x:c>
      <x:c r="E57" s="40" t="str">
        <x:v>Реестр поставленного / UAT</x:v>
      </x:c>
      <x:c r="F57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57" s="40" t="str">
        <x:v>132</x:v>
      </x:c>
      <x:c r="H57" s="40" t="str">
        <x:v>https://github.com/anpavel84-afk/gobadminton-clean/issues/131</x:v>
      </x:c>
      <x:c r="I57" s="40" t="str">
        <x:v>Высокая по Git ancestry; не финальная Owner-приёмка</x:v>
      </x:c>
      <x:c r="J57" s="40" t="str">
        <x:v>Не применено</x:v>
      </x:c>
    </x:row>
    <x:row r="58" ht="66" customHeight="1">
      <x:c r="A58" s="40" t="n">
        <x:v>133</x:v>
      </x:c>
      <x:c r="B58" s="40" t="str">
        <x:v>Живая шторка, контакты, создание игры</x:v>
      </x:c>
      <x:c r="C58" s="40" t="str">
        <x:v>OPEN</x:v>
      </x:c>
      <x:c r="D58" s="40" t="str">
        <x:v>Технически выпущена</x:v>
      </x:c>
      <x:c r="E58" s="40" t="str">
        <x:v>Реестр поставленного / UAT</x:v>
      </x:c>
      <x:c r="F58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58" s="40" t="str">
        <x:v>135,145,166</x:v>
      </x:c>
      <x:c r="H58" s="40" t="str">
        <x:v>https://github.com/anpavel84-afk/gobadminton-clean/issues/133</x:v>
      </x:c>
      <x:c r="I58" s="40" t="str">
        <x:v>Высокая по Git ancestry; не финальная Owner-приёмка</x:v>
      </x:c>
      <x:c r="J58" s="40" t="str">
        <x:v>Не применено</x:v>
      </x:c>
    </x:row>
    <x:row r="59" ht="42" customHeight="1">
      <x:c r="A59" s="40" t="n">
        <x:v>134</x:v>
      </x:c>
      <x:c r="B59" s="40" t="str">
        <x:v>Публичные контакты в попапе — R1</x:v>
      </x:c>
      <x:c r="C59" s="40" t="str">
        <x:v>OPEN</x:v>
      </x:c>
      <x:c r="D59" s="40" t="str">
        <x:v>Заменена — свернуть</x:v>
      </x:c>
      <x:c r="E59" s="40" t="str">
        <x:v>#142</x:v>
      </x:c>
      <x:c r="F59" s="40" t="str">
        <x:v>Публичные контакты доставлены через #142/PR145; данные дополняются в #422.</x:v>
      </x:c>
      <x:c r="G59" s="40" t="str"/>
      <x:c r="H59" s="40" t="str">
        <x:v>https://github.com/anpavel84-afk/gobadminton-clean/issues/134</x:v>
      </x:c>
      <x:c r="I59" s="40" t="str">
        <x:v>Высокая по lineage; остаток не переносить вслепую</x:v>
      </x:c>
      <x:c r="J59" s="40" t="str">
        <x:v>Не применено</x:v>
      </x:c>
    </x:row>
    <x:row r="60" ht="42" customHeight="1">
      <x:c r="A60" s="40" t="n">
        <x:v>136</x:v>
      </x:c>
      <x:c r="B60" s="40" t="str">
        <x:v>Иконка волана — первая версия</x:v>
      </x:c>
      <x:c r="C60" s="40" t="str">
        <x:v>OPEN</x:v>
      </x:c>
      <x:c r="D60" s="40" t="str">
        <x:v>Заменена — свернуть</x:v>
      </x:c>
      <x:c r="E60" s="40" t="str">
        <x:v>#138</x:v>
      </x:c>
      <x:c r="F60" s="40" t="str">
        <x:v>Иконка завершена в #138/PR139; старый вариант не возвращать.</x:v>
      </x:c>
      <x:c r="G60" s="40" t="str"/>
      <x:c r="H60" s="40" t="str">
        <x:v>https://github.com/anpavel84-afk/gobadminton-clean/issues/136</x:v>
      </x:c>
      <x:c r="I60" s="40" t="str">
        <x:v>Высокая по lineage; остаток не переносить вслепую</x:v>
      </x:c>
      <x:c r="J60" s="40" t="str">
        <x:v>Не применено</x:v>
      </x:c>
    </x:row>
    <x:row r="61" ht="66" customHeight="1">
      <x:c r="A61" s="40" t="n">
        <x:v>138</x:v>
      </x:c>
      <x:c r="B61" s="40" t="str">
        <x:v>Иконка волана — завершение</x:v>
      </x:c>
      <x:c r="C61" s="40" t="str">
        <x:v>OPEN</x:v>
      </x:c>
      <x:c r="D61" s="40" t="str">
        <x:v>Технически выпущена</x:v>
      </x:c>
      <x:c r="E61" s="40" t="str">
        <x:v>Реестр поставленного / UAT</x:v>
      </x:c>
      <x:c r="F61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61" s="40" t="str">
        <x:v>139</x:v>
      </x:c>
      <x:c r="H61" s="40" t="str">
        <x:v>https://github.com/anpavel84-afk/gobadminton-clean/issues/138</x:v>
      </x:c>
      <x:c r="I61" s="40" t="str">
        <x:v>Высокая по Git ancestry; не финальная Owner-приёмка</x:v>
      </x:c>
      <x:c r="J61" s="40" t="str">
        <x:v>Не применено</x:v>
      </x:c>
    </x:row>
    <x:row r="62" ht="42" customHeight="1">
      <x:c r="A62" s="40" t="n">
        <x:v>141</x:v>
      </x:c>
      <x:c r="B62" s="40" t="str">
        <x:v>M3 фото без задержки — R1</x:v>
      </x:c>
      <x:c r="C62" s="40" t="str">
        <x:v>OPEN</x:v>
      </x:c>
      <x:c r="D62" s="40" t="str">
        <x:v>Заменена — свернуть</x:v>
      </x:c>
      <x:c r="E62" s="40" t="str">
        <x:v>#147</x:v>
      </x:c>
      <x:c r="F62" s="40" t="str">
        <x:v>Цепочка #141 → #144 → #147 завершила этот дефект; новый performance-остаток только #406.</x:v>
      </x:c>
      <x:c r="G62" s="40" t="str"/>
      <x:c r="H62" s="40" t="str">
        <x:v>https://github.com/anpavel84-afk/gobadminton-clean/issues/141</x:v>
      </x:c>
      <x:c r="I62" s="40" t="str">
        <x:v>Высокая по lineage; остаток не переносить вслепую</x:v>
      </x:c>
      <x:c r="J62" s="40" t="str">
        <x:v>Не применено</x:v>
      </x:c>
    </x:row>
    <x:row r="63" ht="66" customHeight="1">
      <x:c r="A63" s="40" t="n">
        <x:v>142</x:v>
      </x:c>
      <x:c r="B63" s="40" t="str">
        <x:v>M3 контакты: согласовать URL/БД</x:v>
      </x:c>
      <x:c r="C63" s="40" t="str">
        <x:v>OPEN</x:v>
      </x:c>
      <x:c r="D63" s="40" t="str">
        <x:v>Технически выпущена</x:v>
      </x:c>
      <x:c r="E63" s="40" t="str">
        <x:v>Реестр поставленного / UAT</x:v>
      </x:c>
      <x:c r="F63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63" s="40" t="str">
        <x:v>145</x:v>
      </x:c>
      <x:c r="H63" s="40" t="str">
        <x:v>https://github.com/anpavel84-afk/gobadminton-clean/issues/142</x:v>
      </x:c>
      <x:c r="I63" s="40" t="str">
        <x:v>Высокая по Git ancestry; не финальная Owner-приёмка</x:v>
      </x:c>
      <x:c r="J63" s="40" t="str">
        <x:v>Не применено</x:v>
      </x:c>
    </x:row>
    <x:row r="64" ht="42" customHeight="1">
      <x:c r="A64" s="40" t="n">
        <x:v>144</x:v>
      </x:c>
      <x:c r="B64" s="40" t="str">
        <x:v>M3 фото: исправить тест — R2</x:v>
      </x:c>
      <x:c r="C64" s="40" t="str">
        <x:v>OPEN</x:v>
      </x:c>
      <x:c r="D64" s="40" t="str">
        <x:v>Заменена — свернуть</x:v>
      </x:c>
      <x:c r="E64" s="40" t="str">
        <x:v>#147</x:v>
      </x:c>
      <x:c r="F64" s="40" t="str">
        <x:v>Ошибка lifecycle-теста исправлена преемником #147/PR148.</x:v>
      </x:c>
      <x:c r="G64" s="40" t="str"/>
      <x:c r="H64" s="40" t="str">
        <x:v>https://github.com/anpavel84-afk/gobadminton-clean/issues/144</x:v>
      </x:c>
      <x:c r="I64" s="40" t="str">
        <x:v>Высокая по lineage; остаток не переносить вслепую</x:v>
      </x:c>
      <x:c r="J64" s="40" t="str">
        <x:v>Не применено</x:v>
      </x:c>
    </x:row>
    <x:row r="65" ht="66" customHeight="1">
      <x:c r="A65" s="40" t="n">
        <x:v>147</x:v>
      </x:c>
      <x:c r="B65" s="40" t="str">
        <x:v>M3 фото: завершить — R3</x:v>
      </x:c>
      <x:c r="C65" s="40" t="str">
        <x:v>OPEN</x:v>
      </x:c>
      <x:c r="D65" s="40" t="str">
        <x:v>Технически выпущена</x:v>
      </x:c>
      <x:c r="E65" s="40" t="str">
        <x:v>Реестр поставленного / UAT</x:v>
      </x:c>
      <x:c r="F65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65" s="40" t="str">
        <x:v>148,410</x:v>
      </x:c>
      <x:c r="H65" s="40" t="str">
        <x:v>https://github.com/anpavel84-afk/gobadminton-clean/issues/147</x:v>
      </x:c>
      <x:c r="I65" s="40" t="str">
        <x:v>Высокая по Git ancestry; не финальная Owner-приёмка</x:v>
      </x:c>
      <x:c r="J65" s="40" t="str">
        <x:v>Не применено</x:v>
      </x:c>
    </x:row>
    <x:row r="66" ht="42" customHeight="1">
      <x:c r="A66" s="40" t="n">
        <x:v>149</x:v>
      </x:c>
      <x:c r="B66" s="40" t="str">
        <x:v>Radar: карточка игрока и будущие игры — R1</x:v>
      </x:c>
      <x:c r="C66" s="40" t="str">
        <x:v>OPEN</x:v>
      </x:c>
      <x:c r="D66" s="40" t="str">
        <x:v>Заменена — свернуть</x:v>
      </x:c>
      <x:c r="E66" s="40" t="str">
        <x:v>#308</x:v>
      </x:c>
      <x:c r="F66" s="40" t="str">
        <x:v>#149 → #177 → #308; не переигрывать старые кандидаты.</x:v>
      </x:c>
      <x:c r="G66" s="40" t="str"/>
      <x:c r="H66" s="40" t="str">
        <x:v>https://github.com/anpavel84-afk/gobadminton-clean/issues/149</x:v>
      </x:c>
      <x:c r="I66" s="40" t="str">
        <x:v>Высокая по lineage; остаток не переносить вслепую</x:v>
      </x:c>
      <x:c r="J66" s="40" t="str">
        <x:v>Не применено</x:v>
      </x:c>
    </x:row>
    <x:row r="67" ht="66" customHeight="1">
      <x:c r="A67" s="40" t="n">
        <x:v>151</x:v>
      </x:c>
      <x:c r="B67" s="40" t="str">
        <x:v>Загрузка модуля карты игр</x:v>
      </x:c>
      <x:c r="C67" s="40" t="str">
        <x:v>OPEN</x:v>
      </x:c>
      <x:c r="D67" s="40" t="str">
        <x:v>Технически выпущена</x:v>
      </x:c>
      <x:c r="E67" s="40" t="str">
        <x:v>Реестр поставленного / UAT</x:v>
      </x:c>
      <x:c r="F67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67" s="40" t="str">
        <x:v>153,369</x:v>
      </x:c>
      <x:c r="H67" s="40" t="str">
        <x:v>https://github.com/anpavel84-afk/gobadminton-clean/issues/151</x:v>
      </x:c>
      <x:c r="I67" s="40" t="str">
        <x:v>Высокая по Git ancestry; не финальная Owner-приёмка</x:v>
      </x:c>
      <x:c r="J67" s="40" t="str">
        <x:v>Не применено</x:v>
      </x:c>
    </x:row>
    <x:row r="68" ht="66" customHeight="1">
      <x:c r="A68" s="40" t="n">
        <x:v>152</x:v>
      </x:c>
      <x:c r="B68" s="40" t="str">
        <x:v>Загрузка модуля Radar</x:v>
      </x:c>
      <x:c r="C68" s="40" t="str">
        <x:v>OPEN</x:v>
      </x:c>
      <x:c r="D68" s="40" t="str">
        <x:v>Технически выпущена</x:v>
      </x:c>
      <x:c r="E68" s="40" t="str">
        <x:v>Реестр поставленного / UAT</x:v>
      </x:c>
      <x:c r="F68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68" s="40" t="str">
        <x:v>154,369</x:v>
      </x:c>
      <x:c r="H68" s="40" t="str">
        <x:v>https://github.com/anpavel84-afk/gobadminton-clean/issues/152</x:v>
      </x:c>
      <x:c r="I68" s="40" t="str">
        <x:v>Высокая по Git ancestry; не финальная Owner-приёмка</x:v>
      </x:c>
      <x:c r="J68" s="40" t="str">
        <x:v>Не применено</x:v>
      </x:c>
    </x:row>
    <x:row r="69" ht="52" customHeight="1">
      <x:c r="A69" s="40" t="n">
        <x:v>155</x:v>
      </x:c>
      <x:c r="B69" s="40" t="str">
        <x:v>OPS: два слота и продолжение при CI/DEV</x:v>
      </x:c>
      <x:c r="C69" s="40" t="str">
        <x:v>OPEN</x:v>
      </x:c>
      <x:c r="D69" s="40" t="str">
        <x:v>Парковка OPS</x:v>
      </x:c>
      <x:c r="E69" s="40" t="str">
        <x:v>#29 — только актуальный техостаток</x:v>
      </x:c>
      <x:c r="F69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69" s="40" t="str"/>
      <x:c r="H69" s="40" t="str">
        <x:v>https://github.com/anpavel84-afk/gobadminton-clean/issues/155</x:v>
      </x:c>
      <x:c r="I69" s="40" t="str">
        <x:v>Рекомендация; runtime-гейты не снимались</x:v>
      </x:c>
      <x:c r="J69" s="40" t="str">
        <x:v>Не применено</x:v>
      </x:c>
    </x:row>
    <x:row r="70" ht="42" customHeight="1">
      <x:c r="A70" s="40" t="n">
        <x:v>156</x:v>
      </x:c>
      <x:c r="B70" s="40" t="str">
        <x:v>Фото игр, контакты, создание внутри попапа</x:v>
      </x:c>
      <x:c r="C70" s="40" t="str">
        <x:v>CLOSED</x:v>
      </x:c>
      <x:c r="D70" s="40" t="str">
        <x:v>Уже закрыта — архив</x:v>
      </x:c>
      <x:c r="E70" s="40" t="str">
        <x:v>История, не в очереди</x:v>
      </x:c>
      <x:c r="F70" s="40" t="str">
        <x:v>Исторически закрытая запись. Не переоткрывать при переносе бэклога.</x:v>
      </x:c>
      <x:c r="G70" s="40" t="str"/>
      <x:c r="H70" s="40" t="str">
        <x:v>https://github.com/anpavel84-afk/gobadminton-clean/issues/156</x:v>
      </x:c>
      <x:c r="I70" s="40" t="str">
        <x:v>Высокая: состояние GitHub</x:v>
      </x:c>
      <x:c r="J70" s="40" t="str">
        <x:v>Не применено</x:v>
      </x:c>
    </x:row>
    <x:row r="71" ht="66" customHeight="1">
      <x:c r="A71" s="40" t="n">
        <x:v>157</x:v>
      </x:c>
      <x:c r="B71" s="40" t="str">
        <x:v>Единая кнопка закрытия</x:v>
      </x:c>
      <x:c r="C71" s="40" t="str">
        <x:v>OPEN</x:v>
      </x:c>
      <x:c r="D71" s="40" t="str">
        <x:v>Технически выпущена</x:v>
      </x:c>
      <x:c r="E71" s="40" t="str">
        <x:v>Реестр поставленного / UAT</x:v>
      </x:c>
      <x:c r="F71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71" s="40" t="str">
        <x:v>164,425</x:v>
      </x:c>
      <x:c r="H71" s="40" t="str">
        <x:v>https://github.com/anpavel84-afk/gobadminton-clean/issues/157</x:v>
      </x:c>
      <x:c r="I71" s="40" t="str">
        <x:v>Высокая по Git ancestry; не финальная Owner-приёмка</x:v>
      </x:c>
      <x:c r="J71" s="40" t="str">
        <x:v>Не применено</x:v>
      </x:c>
    </x:row>
    <x:row r="72" ht="42" customHeight="1">
      <x:c r="A72" s="40" t="n">
        <x:v>158</x:v>
      </x:c>
      <x:c r="B72" s="40" t="str">
        <x:v>Actions-owned train</x:v>
      </x:c>
      <x:c r="C72" s="40" t="str">
        <x:v>CLOSED</x:v>
      </x:c>
      <x:c r="D72" s="40" t="str">
        <x:v>Уже закрыта — архив</x:v>
      </x:c>
      <x:c r="E72" s="40" t="str">
        <x:v>История, не в очереди</x:v>
      </x:c>
      <x:c r="F72" s="40" t="str">
        <x:v>Исторически закрытая запись. Не переоткрывать при переносе бэклога.</x:v>
      </x:c>
      <x:c r="G72" s="40" t="str"/>
      <x:c r="H72" s="40" t="str">
        <x:v>https://github.com/anpavel84-afk/gobadminton-clean/issues/158</x:v>
      </x:c>
      <x:c r="I72" s="40" t="str">
        <x:v>Высокая: состояние GitHub</x:v>
      </x:c>
      <x:c r="J72" s="40" t="str">
        <x:v>Не применено</x:v>
      </x:c>
    </x:row>
    <x:row r="73" ht="42" customHeight="1">
      <x:c r="A73" s="40" t="n">
        <x:v>170</x:v>
      </x:c>
      <x:c r="B73" s="40" t="str">
        <x:v>Профиль площадки и API — R1</x:v>
      </x:c>
      <x:c r="C73" s="40" t="str">
        <x:v>OPEN</x:v>
      </x:c>
      <x:c r="D73" s="40" t="str">
        <x:v>Заменена — свернуть</x:v>
      </x:c>
      <x:c r="E73" s="40" t="str">
        <x:v>#178</x:v>
      </x:c>
      <x:c r="F73" s="40" t="str">
        <x:v>Модель площадки восстановлена #178/PR187, расширена #427.</x:v>
      </x:c>
      <x:c r="G73" s="40" t="str"/>
      <x:c r="H73" s="40" t="str">
        <x:v>https://github.com/anpavel84-afk/gobadminton-clean/issues/170</x:v>
      </x:c>
      <x:c r="I73" s="40" t="str">
        <x:v>Высокая по lineage; остаток не переносить вслепую</x:v>
      </x:c>
      <x:c r="J73" s="40" t="str">
        <x:v>Не применено</x:v>
      </x:c>
    </x:row>
    <x:row r="74" ht="66" customHeight="1">
      <x:c r="A74" s="40" t="n">
        <x:v>171</x:v>
      </x:c>
      <x:c r="B74" s="40" t="str">
        <x:v>Мобильная форма и строки игр в попапе</x:v>
      </x:c>
      <x:c r="C74" s="40" t="str">
        <x:v>OPEN</x:v>
      </x:c>
      <x:c r="D74" s="40" t="str">
        <x:v>Технически выпущена</x:v>
      </x:c>
      <x:c r="E74" s="40" t="str">
        <x:v>Реестр поставленного / UAT</x:v>
      </x:c>
      <x:c r="F74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74" s="40" t="str">
        <x:v>172,425</x:v>
      </x:c>
      <x:c r="H74" s="40" t="str">
        <x:v>https://github.com/anpavel84-afk/gobadminton-clean/issues/171</x:v>
      </x:c>
      <x:c r="I74" s="40" t="str">
        <x:v>Высокая по Git ancestry; не финальная Owner-приёмка</x:v>
      </x:c>
      <x:c r="J74" s="40" t="str">
        <x:v>Не применено</x:v>
      </x:c>
    </x:row>
    <x:row r="75" ht="66" customHeight="1">
      <x:c r="A75" s="40" t="n">
        <x:v>174</x:v>
      </x:c>
      <x:c r="B75" s="40" t="str">
        <x:v>Контраст CTA, фото, действия в попапе</x:v>
      </x:c>
      <x:c r="C75" s="40" t="str">
        <x:v>OPEN</x:v>
      </x:c>
      <x:c r="D75" s="40" t="str">
        <x:v>Технически выпущена</x:v>
      </x:c>
      <x:c r="E75" s="40" t="str">
        <x:v>Реестр поставленного / UAT</x:v>
      </x:c>
      <x:c r="F75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75" s="40" t="str">
        <x:v>176</x:v>
      </x:c>
      <x:c r="H75" s="40" t="str">
        <x:v>https://github.com/anpavel84-afk/gobadminton-clean/issues/174</x:v>
      </x:c>
      <x:c r="I75" s="40" t="str">
        <x:v>Высокая по Git ancestry; не финальная Owner-приёмка</x:v>
      </x:c>
      <x:c r="J75" s="40" t="str">
        <x:v>Не применено</x:v>
      </x:c>
    </x:row>
    <x:row r="76" ht="52" customHeight="1">
      <x:c r="A76" s="40" t="n">
        <x:v>175</x:v>
      </x:c>
      <x:c r="B76" s="40" t="str">
        <x:v>Единый бэклог и понятные статусы</x:v>
      </x:c>
      <x:c r="C76" s="40" t="str">
        <x:v>OPEN</x:v>
      </x:c>
      <x:c r="D76" s="40" t="str">
        <x:v>Однократная сверка учёта</x:v>
      </x:c>
      <x:c r="E76" s="40" t="str">
        <x:v>#175</x:v>
      </x:c>
      <x:c r="F76" s="40" t="str">
        <x:v>Свести статусы и преемников в существующем Project. Не создавать новый монитор или систему бэклога.</x:v>
      </x:c>
      <x:c r="G76" s="40" t="str"/>
      <x:c r="H76" s="40" t="str">
        <x:v>https://github.com/anpavel84-afk/gobadminton-clean/issues/175</x:v>
      </x:c>
      <x:c r="I76" s="40" t="str">
        <x:v>Высокая: Project содержит устаревшие статусы</x:v>
      </x:c>
      <x:c r="J76" s="40" t="str">
        <x:v>Не применено</x:v>
      </x:c>
    </x:row>
    <x:row r="77" ht="42" customHeight="1">
      <x:c r="A77" s="40" t="n">
        <x:v>177</x:v>
      </x:c>
      <x:c r="B77" s="40" t="str">
        <x:v>Radar: преемник #149 — R4</x:v>
      </x:c>
      <x:c r="C77" s="40" t="str">
        <x:v>OPEN</x:v>
      </x:c>
      <x:c r="D77" s="40" t="str">
        <x:v>Заменена — свернуть</x:v>
      </x:c>
      <x:c r="E77" s="40" t="str">
        <x:v>#308</x:v>
      </x:c>
      <x:c r="F77" s="40" t="str">
        <x:v>Сохранить историю FAIL; пользовательский результат выпущен через #308.</x:v>
      </x:c>
      <x:c r="G77" s="40" t="str"/>
      <x:c r="H77" s="40" t="str">
        <x:v>https://github.com/anpavel84-afk/gobadminton-clean/issues/177</x:v>
      </x:c>
      <x:c r="I77" s="40" t="str">
        <x:v>Высокая по lineage; остаток не переносить вслепую</x:v>
      </x:c>
      <x:c r="J77" s="40" t="str">
        <x:v>Не применено</x:v>
      </x:c>
    </x:row>
    <x:row r="78" ht="66" customHeight="1">
      <x:c r="A78" s="40" t="n">
        <x:v>178</x:v>
      </x:c>
      <x:c r="B78" s="40" t="str">
        <x:v>Профиль площадки: восстановление после #170</x:v>
      </x:c>
      <x:c r="C78" s="40" t="str">
        <x:v>OPEN</x:v>
      </x:c>
      <x:c r="D78" s="40" t="str">
        <x:v>Технически выпущена</x:v>
      </x:c>
      <x:c r="E78" s="40" t="str">
        <x:v>Реестр поставленного / UAT</x:v>
      </x:c>
      <x:c r="F78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78" s="40" t="str">
        <x:v>187</x:v>
      </x:c>
      <x:c r="H78" s="40" t="str">
        <x:v>https://github.com/anpavel84-afk/gobadminton-clean/issues/178</x:v>
      </x:c>
      <x:c r="I78" s="40" t="str">
        <x:v>Высокая по Git ancestry; не финальная Owner-приёмка</x:v>
      </x:c>
      <x:c r="J78" s="40" t="str">
        <x:v>Не применено</x:v>
      </x:c>
    </x:row>
    <x:row r="79" ht="66" customHeight="1">
      <x:c r="A79" s="40" t="n">
        <x:v>179</x:v>
      </x:c>
      <x:c r="B79" s="40" t="str">
        <x:v>Свайп всей компактной карточки площадки</x:v>
      </x:c>
      <x:c r="C79" s="40" t="str">
        <x:v>OPEN</x:v>
      </x:c>
      <x:c r="D79" s="40" t="str">
        <x:v>Технически выпущена</x:v>
      </x:c>
      <x:c r="E79" s="40" t="str">
        <x:v>Реестр поставленного / UAT</x:v>
      </x:c>
      <x:c r="F79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79" s="40" t="str">
        <x:v>180,186,190,193,197</x:v>
      </x:c>
      <x:c r="H79" s="40" t="str">
        <x:v>https://github.com/anpavel84-afk/gobadminton-clean/issues/179</x:v>
      </x:c>
      <x:c r="I79" s="40" t="str">
        <x:v>Высокая по Git ancestry; не финальная Owner-приёмка</x:v>
      </x:c>
      <x:c r="J79" s="40" t="str">
        <x:v>Не применено</x:v>
      </x:c>
    </x:row>
    <x:row r="80" ht="42" customHeight="1">
      <x:c r="A80" s="40" t="n">
        <x:v>181</x:v>
      </x:c>
      <x:c r="B80" s="40" t="str">
        <x:v>Рекомендация игры другу: API</x:v>
      </x:c>
      <x:c r="C80" s="40" t="str">
        <x:v>CLOSED</x:v>
      </x:c>
      <x:c r="D80" s="40" t="str">
        <x:v>Уже закрыта — архив</x:v>
      </x:c>
      <x:c r="E80" s="40" t="str">
        <x:v>История, не в очереди</x:v>
      </x:c>
      <x:c r="F80" s="40" t="str">
        <x:v>Исторически закрытая запись. Не переоткрывать при переносе бэклога.</x:v>
      </x:c>
      <x:c r="G80" s="40" t="str"/>
      <x:c r="H80" s="40" t="str">
        <x:v>https://github.com/anpavel84-afk/gobadminton-clean/issues/181</x:v>
      </x:c>
      <x:c r="I80" s="40" t="str">
        <x:v>Высокая: состояние GitHub</x:v>
      </x:c>
      <x:c r="J80" s="40" t="str">
        <x:v>Не применено</x:v>
      </x:c>
    </x:row>
    <x:row r="81" ht="66" customHeight="1">
      <x:c r="A81" s="40" t="n">
        <x:v>182</x:v>
      </x:c>
      <x:c r="B81" s="40" t="str">
        <x:v>Рекомендация другу и блок «Вам советуют»</x:v>
      </x:c>
      <x:c r="C81" s="40" t="str">
        <x:v>OPEN</x:v>
      </x:c>
      <x:c r="D81" s="40" t="str">
        <x:v>Технически выпущена</x:v>
      </x:c>
      <x:c r="E81" s="40" t="str">
        <x:v>Реестр поставленного / UAT</x:v>
      </x:c>
      <x:c r="F81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81" s="40" t="str">
        <x:v>189,367</x:v>
      </x:c>
      <x:c r="H81" s="40" t="str">
        <x:v>https://github.com/anpavel84-afk/gobadminton-clean/issues/182</x:v>
      </x:c>
      <x:c r="I81" s="40" t="str">
        <x:v>Высокая по Git ancestry; не финальная Owner-приёмка</x:v>
      </x:c>
      <x:c r="J81" s="40" t="str">
        <x:v>Не применено</x:v>
      </x:c>
    </x:row>
    <x:row r="82" ht="42" customHeight="1">
      <x:c r="A82" s="40" t="n">
        <x:v>184</x:v>
      </x:c>
      <x:c r="B82" s="40" t="str">
        <x:v>Фильтры общей карты</x:v>
      </x:c>
      <x:c r="C82" s="40" t="str">
        <x:v>CLOSED</x:v>
      </x:c>
      <x:c r="D82" s="40" t="str">
        <x:v>Уже закрыта — архив</x:v>
      </x:c>
      <x:c r="E82" s="40" t="str">
        <x:v>История, не в очереди</x:v>
      </x:c>
      <x:c r="F82" s="40" t="str">
        <x:v>Исторически закрытая запись. Не переоткрывать при переносе бэклога.</x:v>
      </x:c>
      <x:c r="G82" s="40" t="str"/>
      <x:c r="H82" s="40" t="str">
        <x:v>https://github.com/anpavel84-afk/gobadminton-clean/issues/184</x:v>
      </x:c>
      <x:c r="I82" s="40" t="str">
        <x:v>Высокая: состояние GitHub</x:v>
      </x:c>
      <x:c r="J82" s="40" t="str">
        <x:v>Не применено</x:v>
      </x:c>
    </x:row>
    <x:row r="83" ht="52" customHeight="1">
      <x:c r="A83" s="40" t="n">
        <x:v>185</x:v>
      </x:c>
      <x:c r="B83" s="40" t="str">
        <x:v>OPS: восстановление отложенных задач</x:v>
      </x:c>
      <x:c r="C83" s="40" t="str">
        <x:v>OPEN</x:v>
      </x:c>
      <x:c r="D83" s="40" t="str">
        <x:v>Парковка OPS</x:v>
      </x:c>
      <x:c r="E83" s="40" t="str">
        <x:v>#29 — только актуальный техостаток</x:v>
      </x:c>
      <x:c r="F83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83" s="40" t="str"/>
      <x:c r="H83" s="40" t="str">
        <x:v>https://github.com/anpavel84-afk/gobadminton-clean/issues/185</x:v>
      </x:c>
      <x:c r="I83" s="40" t="str">
        <x:v>Рекомендация; runtime-гейты не снимались</x:v>
      </x:c>
      <x:c r="J83" s="40" t="str">
        <x:v>Не применено</x:v>
      </x:c>
    </x:row>
    <x:row r="84" ht="52" customHeight="1">
      <x:c r="A84" s="40" t="n">
        <x:v>199</x:v>
      </x:c>
      <x:c r="B84" s="40" t="str">
        <x:v>OPS V2: маршрутизация и стадии</x:v>
      </x:c>
      <x:c r="C84" s="40" t="str">
        <x:v>OPEN</x:v>
      </x:c>
      <x:c r="D84" s="40" t="str">
        <x:v>Парковка OPS</x:v>
      </x:c>
      <x:c r="E84" s="40" t="str">
        <x:v>#29 — только актуальный техостаток</x:v>
      </x:c>
      <x:c r="F84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84" s="40" t="str"/>
      <x:c r="H84" s="40" t="str">
        <x:v>https://github.com/anpavel84-afk/gobadminton-clean/issues/199</x:v>
      </x:c>
      <x:c r="I84" s="40" t="str">
        <x:v>Рекомендация; runtime-гейты не снимались</x:v>
      </x:c>
      <x:c r="J84" s="40" t="str">
        <x:v>Не применено</x:v>
      </x:c>
    </x:row>
    <x:row r="85" ht="52" customHeight="1">
      <x:c r="A85" s="40" t="n">
        <x:v>203</x:v>
      </x:c>
      <x:c r="B85" s="40" t="str">
        <x:v>OPS V2: commissioning canary</x:v>
      </x:c>
      <x:c r="C85" s="40" t="str">
        <x:v>OPEN</x:v>
      </x:c>
      <x:c r="D85" s="40" t="str">
        <x:v>История — не возобновлять</x:v>
      </x:c>
      <x:c r="E85" s="40" t="str">
        <x:v>Архив технических этапов</x:v>
      </x:c>
      <x:c r="F85" s="40" t="str">
        <x:v>Разовый bootstrap/canary/старый ремонт. Текущий продукт работает по более позднему контуру; не оживлять старые инструкции.</x:v>
      </x:c>
      <x:c r="G85" s="40" t="str"/>
      <x:c r="H85" s="40" t="str">
        <x:v>https://github.com/anpavel84-afk/gobadminton-clean/issues/203</x:v>
      </x:c>
      <x:c r="I85" s="40" t="str">
        <x:v>Рекомендация; перед закрытием сверить остаточные эффекты</x:v>
      </x:c>
      <x:c r="J85" s="40" t="str">
        <x:v>Не применено</x:v>
      </x:c>
    </x:row>
    <x:row r="86" ht="66" customHeight="1">
      <x:c r="A86" s="40" t="n">
        <x:v>205</x:v>
      </x:c>
      <x:c r="B86" s="40" t="str">
        <x:v>Публичный профиль площадки</x:v>
      </x:c>
      <x:c r="C86" s="40" t="str">
        <x:v>OPEN</x:v>
      </x:c>
      <x:c r="D86" s="40" t="str">
        <x:v>Технически выпущена</x:v>
      </x:c>
      <x:c r="E86" s="40" t="str">
        <x:v>Реестр поставленного / UAT</x:v>
      </x:c>
      <x:c r="F86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86" s="40" t="str">
        <x:v>206,427</x:v>
      </x:c>
      <x:c r="H86" s="40" t="str">
        <x:v>https://github.com/anpavel84-afk/gobadminton-clean/issues/205</x:v>
      </x:c>
      <x:c r="I86" s="40" t="str">
        <x:v>Высокая по Git ancestry; не финальная Owner-приёмка</x:v>
      </x:c>
      <x:c r="J86" s="40" t="str">
        <x:v>Не применено</x:v>
      </x:c>
    </x:row>
    <x:row r="87" ht="66" customHeight="1">
      <x:c r="A87" s="40" t="n">
        <x:v>207</x:v>
      </x:c>
      <x:c r="B87" s="40" t="str">
        <x:v>Admin: публичные контакты и профиль</x:v>
      </x:c>
      <x:c r="C87" s="40" t="str">
        <x:v>OPEN</x:v>
      </x:c>
      <x:c r="D87" s="40" t="str">
        <x:v>Технически выпущена</x:v>
      </x:c>
      <x:c r="E87" s="40" t="str">
        <x:v>Реестр поставленного / UAT</x:v>
      </x:c>
      <x:c r="F87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87" s="40" t="str">
        <x:v>210,427</x:v>
      </x:c>
      <x:c r="H87" s="40" t="str">
        <x:v>https://github.com/anpavel84-afk/gobadminton-clean/issues/207</x:v>
      </x:c>
      <x:c r="I87" s="40" t="str">
        <x:v>Высокая по Git ancestry; не финальная Owner-приёмка</x:v>
      </x:c>
      <x:c r="J87" s="40" t="str">
        <x:v>Не применено</x:v>
      </x:c>
    </x:row>
    <x:row r="88" ht="52" customHeight="1">
      <x:c r="A88" s="40" t="n">
        <x:v>208</x:v>
      </x:c>
      <x:c r="B88" s="40" t="str">
        <x:v>OPS: допуск по комментарию и idle</x:v>
      </x:c>
      <x:c r="C88" s="40" t="str">
        <x:v>OPEN</x:v>
      </x:c>
      <x:c r="D88" s="40" t="str">
        <x:v>Парковка OPS</x:v>
      </x:c>
      <x:c r="E88" s="40" t="str">
        <x:v>#29 — только актуальный техостаток</x:v>
      </x:c>
      <x:c r="F88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88" s="40" t="str"/>
      <x:c r="H88" s="40" t="str">
        <x:v>https://github.com/anpavel84-afk/gobadminton-clean/issues/208</x:v>
      </x:c>
      <x:c r="I88" s="40" t="str">
        <x:v>Рекомендация; runtime-гейты не снимались</x:v>
      </x:c>
      <x:c r="J88" s="40" t="str">
        <x:v>Не применено</x:v>
      </x:c>
    </x:row>
    <x:row r="89" ht="52" customHeight="1">
      <x:c r="A89" s="40" t="n">
        <x:v>211</x:v>
      </x:c>
      <x:c r="B89" s="40" t="str">
        <x:v>OPS: экономная маршрутизация моделей</x:v>
      </x:c>
      <x:c r="C89" s="40" t="str">
        <x:v>OPEN</x:v>
      </x:c>
      <x:c r="D89" s="40" t="str">
        <x:v>Парковка OPS</x:v>
      </x:c>
      <x:c r="E89" s="40" t="str">
        <x:v>#29 — только актуальный техостаток</x:v>
      </x:c>
      <x:c r="F89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89" s="40" t="str"/>
      <x:c r="H89" s="40" t="str">
        <x:v>https://github.com/anpavel84-afk/gobadminton-clean/issues/211</x:v>
      </x:c>
      <x:c r="I89" s="40" t="str">
        <x:v>Рекомендация; runtime-гейты не снимались</x:v>
      </x:c>
      <x:c r="J89" s="40" t="str">
        <x:v>Не применено</x:v>
      </x:c>
    </x:row>
    <x:row r="90" ht="42" customHeight="1">
      <x:c r="A90" s="40" t="n">
        <x:v>216</x:v>
      </x:c>
      <x:c r="B90" s="40" t="str">
        <x:v>Удаление активных legacy entrypoints</x:v>
      </x:c>
      <x:c r="C90" s="40" t="str">
        <x:v>CLOSED</x:v>
      </x:c>
      <x:c r="D90" s="40" t="str">
        <x:v>Уже закрыта — архив</x:v>
      </x:c>
      <x:c r="E90" s="40" t="str">
        <x:v>История, не в очереди</x:v>
      </x:c>
      <x:c r="F90" s="40" t="str">
        <x:v>Исторически закрытая запись. Не переоткрывать при переносе бэклога.</x:v>
      </x:c>
      <x:c r="G90" s="40" t="str"/>
      <x:c r="H90" s="40" t="str">
        <x:v>https://github.com/anpavel84-afk/gobadminton-clean/issues/216</x:v>
      </x:c>
      <x:c r="I90" s="40" t="str">
        <x:v>Высокая: состояние GitHub</x:v>
      </x:c>
      <x:c r="J90" s="40" t="str">
        <x:v>Не применено</x:v>
      </x:c>
    </x:row>
    <x:row r="91" ht="52" customHeight="1">
      <x:c r="A91" s="40" t="n">
        <x:v>218</x:v>
      </x:c>
      <x:c r="B91" s="40" t="str">
        <x:v>OPS: Astra-диагностика FAIL</x:v>
      </x:c>
      <x:c r="C91" s="40" t="str">
        <x:v>OPEN</x:v>
      </x:c>
      <x:c r="D91" s="40" t="str">
        <x:v>Парковка OPS</x:v>
      </x:c>
      <x:c r="E91" s="40" t="str">
        <x:v>#29 — только актуальный техостаток</x:v>
      </x:c>
      <x:c r="F91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91" s="40" t="str"/>
      <x:c r="H91" s="40" t="str">
        <x:v>https://github.com/anpavel84-afk/gobadminton-clean/issues/218</x:v>
      </x:c>
      <x:c r="I91" s="40" t="str">
        <x:v>Рекомендация; runtime-гейты не снимались</x:v>
      </x:c>
      <x:c r="J91" s="40" t="str">
        <x:v>Не применено</x:v>
      </x:c>
    </x:row>
    <x:row r="92" ht="52" customHeight="1">
      <x:c r="A92" s="40" t="n">
        <x:v>225</x:v>
      </x:c>
      <x:c r="B92" s="40" t="str">
        <x:v>Cursor: reject нечисловых JSON-констант</x:v>
      </x:c>
      <x:c r="C92" s="40" t="str">
        <x:v>OPEN</x:v>
      </x:c>
      <x:c r="D92" s="40" t="str">
        <x:v>История — не возобновлять</x:v>
      </x:c>
      <x:c r="E92" s="40" t="str">
        <x:v>Архив технических этапов</x:v>
      </x:c>
      <x:c r="F92" s="40" t="str">
        <x:v>Разовый bootstrap/canary/старый ремонт. Текущий продукт работает по более позднему контуру; не оживлять старые инструкции.</x:v>
      </x:c>
      <x:c r="G92" s="40" t="str"/>
      <x:c r="H92" s="40" t="str">
        <x:v>https://github.com/anpavel84-afk/gobadminton-clean/issues/225</x:v>
      </x:c>
      <x:c r="I92" s="40" t="str">
        <x:v>Рекомендация; перед закрытием сверить остаточные эффекты</x:v>
      </x:c>
      <x:c r="J92" s="40" t="str">
        <x:v>Не применено</x:v>
      </x:c>
    </x:row>
    <x:row r="93" ht="42" customHeight="1">
      <x:c r="A93" s="40" t="n">
        <x:v>230</x:v>
      </x:c>
      <x:c r="B93" s="40" t="str">
        <x:v>GameDetail: ролевые контакты — первая постановка</x:v>
      </x:c>
      <x:c r="C93" s="40" t="str">
        <x:v>OPEN</x:v>
      </x:c>
      <x:c r="D93" s="40" t="str">
        <x:v>Заменена — свернуть</x:v>
      </x:c>
      <x:c r="E93" s="40" t="str">
        <x:v>#271</x:v>
      </x:c>
      <x:c r="F93" s="40" t="str">
        <x:v>Первая постановка заменена исполняемой #271/PR272.</x:v>
      </x:c>
      <x:c r="G93" s="40" t="str"/>
      <x:c r="H93" s="40" t="str">
        <x:v>https://github.com/anpavel84-afk/gobadminton-clean/issues/230</x:v>
      </x:c>
      <x:c r="I93" s="40" t="str">
        <x:v>Высокая по lineage; остаток не переносить вслепую</x:v>
      </x:c>
      <x:c r="J93" s="40" t="str">
        <x:v>Не применено</x:v>
      </x:c>
    </x:row>
    <x:row r="94" ht="42" customHeight="1">
      <x:c r="A94" s="40" t="n">
        <x:v>232</x:v>
      </x:c>
      <x:c r="B94" s="40" t="str">
        <x:v>PG-0: отдельный архитектурный handoff</x:v>
      </x:c>
      <x:c r="C94" s="40" t="str">
        <x:v>OPEN</x:v>
      </x:c>
      <x:c r="D94" s="40" t="str">
        <x:v>Заменена — свернуть</x:v>
      </x:c>
      <x:c r="E94" s="40" t="str">
        <x:v>#372</x:v>
      </x:c>
      <x:c r="F94" s="40" t="str">
        <x:v>PG-0 — инертное архитектурное предложение; утверждённая модель уже используется #372.</x:v>
      </x:c>
      <x:c r="G94" s="40" t="str"/>
      <x:c r="H94" s="40" t="str">
        <x:v>https://github.com/anpavel84-afk/gobadminton-clean/issues/232</x:v>
      </x:c>
      <x:c r="I94" s="40" t="str">
        <x:v>Высокая по lineage; остаток не переносить вслепую</x:v>
      </x:c>
      <x:c r="J94" s="40" t="str">
        <x:v>Не применено</x:v>
      </x:c>
    </x:row>
    <x:row r="95" ht="52" customHeight="1">
      <x:c r="A95" s="40" t="n">
        <x:v>244</x:v>
      </x:c>
      <x:c r="B95" s="40" t="str">
        <x:v>OPS FAST PARK / RESUME</x:v>
      </x:c>
      <x:c r="C95" s="40" t="str">
        <x:v>OPEN</x:v>
      </x:c>
      <x:c r="D95" s="40" t="str">
        <x:v>Парковка OPS</x:v>
      </x:c>
      <x:c r="E95" s="40" t="str">
        <x:v>#29 — только актуальный техостаток</x:v>
      </x:c>
      <x:c r="F95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95" s="40" t="str"/>
      <x:c r="H95" s="40" t="str">
        <x:v>https://github.com/anpavel84-afk/gobadminton-clean/issues/244</x:v>
      </x:c>
      <x:c r="I95" s="40" t="str">
        <x:v>Рекомендация; runtime-гейты не снимались</x:v>
      </x:c>
      <x:c r="J95" s="40" t="str">
        <x:v>Не применено</x:v>
      </x:c>
    </x:row>
    <x:row r="96" ht="42" customHeight="1">
      <x:c r="A96" s="40" t="n">
        <x:v>248</x:v>
      </x:c>
      <x:c r="B96" s="40" t="str">
        <x:v>OPS: ref-only релизы и QA reuse</x:v>
      </x:c>
      <x:c r="C96" s="40" t="str">
        <x:v>CLOSED</x:v>
      </x:c>
      <x:c r="D96" s="40" t="str">
        <x:v>Уже закрыта — архив</x:v>
      </x:c>
      <x:c r="E96" s="40" t="str">
        <x:v>История, не в очереди</x:v>
      </x:c>
      <x:c r="F96" s="40" t="str">
        <x:v>Исторически закрытая запись. Не переоткрывать при переносе бэклога.</x:v>
      </x:c>
      <x:c r="G96" s="40" t="str"/>
      <x:c r="H96" s="40" t="str">
        <x:v>https://github.com/anpavel84-afk/gobadminton-clean/issues/248</x:v>
      </x:c>
      <x:c r="I96" s="40" t="str">
        <x:v>Высокая: состояние GitHub</x:v>
      </x:c>
      <x:c r="J96" s="40" t="str">
        <x:v>Не применено</x:v>
      </x:c>
    </x:row>
    <x:row r="97" ht="66" customHeight="1">
      <x:c r="A97" s="40" t="n">
        <x:v>271</x:v>
      </x:c>
      <x:c r="B97" s="40" t="str">
        <x:v>GameDetail: ролевые контакты — реализация</x:v>
      </x:c>
      <x:c r="C97" s="40" t="str">
        <x:v>OPEN</x:v>
      </x:c>
      <x:c r="D97" s="40" t="str">
        <x:v>Технически выпущена</x:v>
      </x:c>
      <x:c r="E97" s="40" t="str">
        <x:v>Реестр поставленного / UAT</x:v>
      </x:c>
      <x:c r="F97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97" s="40" t="str">
        <x:v>272</x:v>
      </x:c>
      <x:c r="H97" s="40" t="str">
        <x:v>https://github.com/anpavel84-afk/gobadminton-clean/issues/271</x:v>
      </x:c>
      <x:c r="I97" s="40" t="str">
        <x:v>Высокая по Git ancestry; не финальная Owner-приёмка</x:v>
      </x:c>
      <x:c r="J97" s="40" t="str">
        <x:v>Не применено</x:v>
      </x:c>
    </x:row>
    <x:row r="98" ht="66" customHeight="1">
      <x:c r="A98" s="40" t="n">
        <x:v>284</x:v>
      </x:c>
      <x:c r="B98" s="40" t="str">
        <x:v>Проверка URL authority в контактах/галерее</x:v>
      </x:c>
      <x:c r="C98" s="40" t="str">
        <x:v>OPEN</x:v>
      </x:c>
      <x:c r="D98" s="40" t="str">
        <x:v>Технически выпущена</x:v>
      </x:c>
      <x:c r="E98" s="40" t="str">
        <x:v>Реестр поставленного / UAT</x:v>
      </x:c>
      <x:c r="F98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98" s="40" t="str">
        <x:v>296,314</x:v>
      </x:c>
      <x:c r="H98" s="40" t="str">
        <x:v>https://github.com/anpavel84-afk/gobadminton-clean/issues/284</x:v>
      </x:c>
      <x:c r="I98" s="40" t="str">
        <x:v>Высокая по Git ancestry; не финальная Owner-приёмка</x:v>
      </x:c>
      <x:c r="J98" s="40" t="str">
        <x:v>Не применено</x:v>
      </x:c>
    </x:row>
    <x:row r="99" ht="66" customHeight="1">
      <x:c r="A99" s="40" t="n">
        <x:v>308</x:v>
      </x:c>
      <x:c r="B99" s="40" t="str">
        <x:v>Radar: завершить карточку и будущие игры — R7</x:v>
      </x:c>
      <x:c r="C99" s="40" t="str">
        <x:v>OPEN</x:v>
      </x:c>
      <x:c r="D99" s="40" t="str">
        <x:v>Технически выпущена</x:v>
      </x:c>
      <x:c r="E99" s="40" t="str">
        <x:v>Реестр поставленного / UAT</x:v>
      </x:c>
      <x:c r="F99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99" s="40" t="str">
        <x:v>309,362,363,364,371</x:v>
      </x:c>
      <x:c r="H99" s="40" t="str">
        <x:v>https://github.com/anpavel84-afk/gobadminton-clean/issues/308</x:v>
      </x:c>
      <x:c r="I99" s="40" t="str">
        <x:v>Высокая по Git ancestry; не финальная Owner-приёмка</x:v>
      </x:c>
      <x:c r="J99" s="40" t="str">
        <x:v>Не применено</x:v>
      </x:c>
    </x:row>
    <x:row r="100" ht="42" customHeight="1">
      <x:c r="A100" s="40" t="n">
        <x:v>310</x:v>
      </x:c>
      <x:c r="B100" s="40" t="str">
        <x:v>Cursor Auto canary — R1</x:v>
      </x:c>
      <x:c r="C100" s="40" t="str">
        <x:v>OPEN</x:v>
      </x:c>
      <x:c r="D100" s="40" t="str">
        <x:v>Заменена — свернуть</x:v>
      </x:c>
      <x:c r="E100" s="40" t="str">
        <x:v>#313</x:v>
      </x:c>
      <x:c r="F100" s="40" t="str">
        <x:v>Canary завершён преемником #313/PR314; повторный commissioning не нужен.</x:v>
      </x:c>
      <x:c r="G100" s="40" t="str"/>
      <x:c r="H100" s="40" t="str">
        <x:v>https://github.com/anpavel84-afk/gobadminton-clean/issues/310</x:v>
      </x:c>
      <x:c r="I100" s="40" t="str">
        <x:v>Высокая по lineage; остаток не переносить вслепую</x:v>
      </x:c>
      <x:c r="J100" s="40" t="str">
        <x:v>Не применено</x:v>
      </x:c>
    </x:row>
    <x:row r="101" ht="52" customHeight="1">
      <x:c r="A101" s="40" t="n">
        <x:v>313</x:v>
      </x:c>
      <x:c r="B101" s="40" t="str">
        <x:v>Cursor Auto canary — преемник</x:v>
      </x:c>
      <x:c r="C101" s="40" t="str">
        <x:v>OPEN</x:v>
      </x:c>
      <x:c r="D101" s="40" t="str">
        <x:v>История — не возобновлять</x:v>
      </x:c>
      <x:c r="E101" s="40" t="str">
        <x:v>Архив технических этапов</x:v>
      </x:c>
      <x:c r="F101" s="40" t="str">
        <x:v>Разовый bootstrap/canary/старый ремонт. Текущий продукт работает по более позднему контуру; не оживлять старые инструкции.</x:v>
      </x:c>
      <x:c r="G101" s="40" t="str"/>
      <x:c r="H101" s="40" t="str">
        <x:v>https://github.com/anpavel84-afk/gobadminton-clean/issues/313</x:v>
      </x:c>
      <x:c r="I101" s="40" t="str">
        <x:v>Рекомендация; перед закрытием сверить остаточные эффекты</x:v>
      </x:c>
      <x:c r="J101" s="40" t="str">
        <x:v>Не применено</x:v>
      </x:c>
    </x:row>
    <x:row r="102" ht="52" customHeight="1">
      <x:c r="A102" s="40" t="n">
        <x:v>336</x:v>
      </x:c>
      <x:c r="B102" s="40" t="str">
        <x:v>OPS: исполнитель по классу задачи</x:v>
      </x:c>
      <x:c r="C102" s="40" t="str">
        <x:v>OPEN</x:v>
      </x:c>
      <x:c r="D102" s="40" t="str">
        <x:v>Парковка OPS</x:v>
      </x:c>
      <x:c r="E102" s="40" t="str">
        <x:v>#29 — только актуальный техостаток</x:v>
      </x:c>
      <x:c r="F102" s="40" t="str">
        <x:v>Не включать в продуктовую очередь. Реальный runtime-остаток хранить отдельно; не считать DONE и не запускать автоматически.</x:v>
      </x:c>
      <x:c r="G102" s="40" t="str"/>
      <x:c r="H102" s="40" t="str">
        <x:v>https://github.com/anpavel84-afk/gobadminton-clean/issues/336</x:v>
      </x:c>
      <x:c r="I102" s="40" t="str">
        <x:v>Рекомендация; runtime-гейты не снимались</x:v>
      </x:c>
      <x:c r="J102" s="40" t="str">
        <x:v>Не применено</x:v>
      </x:c>
    </x:row>
    <x:row r="103" ht="42" customHeight="1">
      <x:c r="A103" s="40" t="n">
        <x:v>337</x:v>
      </x:c>
      <x:c r="B103" s="40" t="str">
        <x:v>DEV Cursor qualification: порядок площадок</x:v>
      </x:c>
      <x:c r="C103" s="40" t="str">
        <x:v>CLOSED</x:v>
      </x:c>
      <x:c r="D103" s="40" t="str">
        <x:v>Уже закрыта — архив</x:v>
      </x:c>
      <x:c r="E103" s="40" t="str">
        <x:v>История, не в очереди</x:v>
      </x:c>
      <x:c r="F103" s="40" t="str">
        <x:v>Исторически закрытая запись. Не переоткрывать при переносе бэклога.</x:v>
      </x:c>
      <x:c r="G103" s="40" t="str"/>
      <x:c r="H103" s="40" t="str">
        <x:v>https://github.com/anpavel84-afk/gobadminton-clean/issues/337</x:v>
      </x:c>
      <x:c r="I103" s="40" t="str">
        <x:v>Высокая: состояние GitHub</x:v>
      </x:c>
      <x:c r="J103" s="40" t="str">
        <x:v>Не применено</x:v>
      </x:c>
    </x:row>
    <x:row r="104" ht="52" customHeight="1">
      <x:c r="A104" s="40" t="n">
        <x:v>342</x:v>
      </x:c>
      <x:c r="B104" s="40" t="str">
        <x:v>DEV временный smoke module</x:v>
      </x:c>
      <x:c r="C104" s="40" t="str">
        <x:v>OPEN</x:v>
      </x:c>
      <x:c r="D104" s="40" t="str">
        <x:v>История — не возобновлять</x:v>
      </x:c>
      <x:c r="E104" s="40" t="str">
        <x:v>Архив технических этапов</x:v>
      </x:c>
      <x:c r="F104" s="40" t="str">
        <x:v>Разовый bootstrap/canary/старый ремонт. Текущий продукт работает по более позднему контуру; не оживлять старые инструкции.</x:v>
      </x:c>
      <x:c r="G104" s="40" t="str"/>
      <x:c r="H104" s="40" t="str">
        <x:v>https://github.com/anpavel84-afk/gobadminton-clean/issues/342</x:v>
      </x:c>
      <x:c r="I104" s="40" t="str">
        <x:v>Рекомендация; перед закрытием сверить остаточные эффекты</x:v>
      </x:c>
      <x:c r="J104" s="40" t="str">
        <x:v>Не применено</x:v>
      </x:c>
    </x:row>
    <x:row r="105" ht="52" customHeight="1">
      <x:c r="A105" s="40" t="n">
        <x:v>343</x:v>
      </x:c>
      <x:c r="B105" s="40" t="str">
        <x:v>DEV cleanup после #342</x:v>
      </x:c>
      <x:c r="C105" s="40" t="str">
        <x:v>OPEN</x:v>
      </x:c>
      <x:c r="D105" s="40" t="str">
        <x:v>История — не возобновлять</x:v>
      </x:c>
      <x:c r="E105" s="40" t="str">
        <x:v>Архив технических этапов</x:v>
      </x:c>
      <x:c r="F105" s="40" t="str">
        <x:v>Разовый bootstrap/canary/старый ремонт. Текущий продукт работает по более позднему контуру; не оживлять старые инструкции.</x:v>
      </x:c>
      <x:c r="G105" s="40" t="str"/>
      <x:c r="H105" s="40" t="str">
        <x:v>https://github.com/anpavel84-afk/gobadminton-clean/issues/343</x:v>
      </x:c>
      <x:c r="I105" s="40" t="str">
        <x:v>Рекомендация; перед закрытием сверить остаточные эффекты</x:v>
      </x:c>
      <x:c r="J105" s="40" t="str">
        <x:v>Не применено</x:v>
      </x:c>
    </x:row>
    <x:row r="106" ht="42" customHeight="1">
      <x:c r="A106" s="40" t="n">
        <x:v>345</x:v>
      </x:c>
      <x:c r="B106" s="40" t="str">
        <x:v>DEV E2E smoke с native QA</x:v>
      </x:c>
      <x:c r="C106" s="40" t="str">
        <x:v>CLOSED</x:v>
      </x:c>
      <x:c r="D106" s="40" t="str">
        <x:v>Уже закрыта — архив</x:v>
      </x:c>
      <x:c r="E106" s="40" t="str">
        <x:v>История, не в очереди</x:v>
      </x:c>
      <x:c r="F106" s="40" t="str">
        <x:v>Исторически закрытая запись. Не переоткрывать при переносе бэклога.</x:v>
      </x:c>
      <x:c r="G106" s="40" t="str"/>
      <x:c r="H106" s="40" t="str">
        <x:v>https://github.com/anpavel84-afk/gobadminton-clean/issues/345</x:v>
      </x:c>
      <x:c r="I106" s="40" t="str">
        <x:v>Высокая: состояние GitHub</x:v>
      </x:c>
      <x:c r="J106" s="40" t="str">
        <x:v>Не применено</x:v>
      </x:c>
    </x:row>
    <x:row r="107" ht="52" customHeight="1">
      <x:c r="A107" s="40" t="n">
        <x:v>346</x:v>
      </x:c>
      <x:c r="B107" s="40" t="str">
        <x:v>DEV cleanup native-runtime probe</x:v>
      </x:c>
      <x:c r="C107" s="40" t="str">
        <x:v>OPEN</x:v>
      </x:c>
      <x:c r="D107" s="40" t="str">
        <x:v>История — не возобновлять</x:v>
      </x:c>
      <x:c r="E107" s="40" t="str">
        <x:v>Архив технических этапов</x:v>
      </x:c>
      <x:c r="F107" s="40" t="str">
        <x:v>Разовый bootstrap/canary/старый ремонт. Текущий продукт работает по более позднему контуру; не оживлять старые инструкции.</x:v>
      </x:c>
      <x:c r="G107" s="40" t="str"/>
      <x:c r="H107" s="40" t="str">
        <x:v>https://github.com/anpavel84-afk/gobadminton-clean/issues/346</x:v>
      </x:c>
      <x:c r="I107" s="40" t="str">
        <x:v>Рекомендация; перед закрытием сверить остаточные эффекты</x:v>
      </x:c>
      <x:c r="J107" s="40" t="str">
        <x:v>Не применено</x:v>
      </x:c>
    </x:row>
    <x:row r="108" ht="66" customHeight="1">
      <x:c r="A108" s="40" t="n">
        <x:v>365</x:v>
      </x:c>
      <x:c r="B108" s="40" t="str">
        <x:v>Desktop: inspector площадки/игры/Radar</x:v>
      </x:c>
      <x:c r="C108" s="40" t="str">
        <x:v>OPEN</x:v>
      </x:c>
      <x:c r="D108" s="40" t="str">
        <x:v>Технически выпущена</x:v>
      </x:c>
      <x:c r="E108" s="40" t="str">
        <x:v>Реестр поставленного / UAT</x:v>
      </x:c>
      <x:c r="F108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08" s="40" t="str">
        <x:v>366,370,371</x:v>
      </x:c>
      <x:c r="H108" s="40" t="str">
        <x:v>https://github.com/anpavel84-afk/gobadminton-clean/issues/365</x:v>
      </x:c>
      <x:c r="I108" s="40" t="str">
        <x:v>Высокая по Git ancestry; не финальная Owner-приёмка</x:v>
      </x:c>
      <x:c r="J108" s="40" t="str">
        <x:v>Не применено</x:v>
      </x:c>
    </x:row>
    <x:row r="109" ht="66" customHeight="1">
      <x:c r="A109" s="40" t="n">
        <x:v>368</x:v>
      </x:c>
      <x:c r="B109" s="40" t="str">
        <x:v>Ограниченная предзагрузка карты города</x:v>
      </x:c>
      <x:c r="C109" s="40" t="str">
        <x:v>OPEN</x:v>
      </x:c>
      <x:c r="D109" s="40" t="str">
        <x:v>Технически выпущена</x:v>
      </x:c>
      <x:c r="E109" s="40" t="str">
        <x:v>Реестр поставленного / UAT</x:v>
      </x:c>
      <x:c r="F109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09" s="40" t="str">
        <x:v>369</x:v>
      </x:c>
      <x:c r="H109" s="40" t="str">
        <x:v>https://github.com/anpavel84-afk/gobadminton-clean/issues/368</x:v>
      </x:c>
      <x:c r="I109" s="40" t="str">
        <x:v>Высокая по Git ancestry; не финальная Owner-приёмка</x:v>
      </x:c>
      <x:c r="J109" s="40" t="str">
        <x:v>Не применено</x:v>
      </x:c>
    </x:row>
    <x:row r="110" ht="52" customHeight="1">
      <x:c r="A110" s="40" t="n">
        <x:v>372</x:v>
      </x:c>
      <x:c r="B110" s="40" t="str">
        <x:v>Postgame: итоги, посещение, споры, отзывы</x:v>
      </x:c>
      <x:c r="C110" s="40" t="str">
        <x:v>OPEN</x:v>
      </x:c>
      <x:c r="D110" s="40" t="str">
        <x:v>Актуальный остаток</x:v>
      </x:c>
      <x:c r="E110" s="40" t="str">
        <x:v>#372</x:v>
      </x:c>
      <x:c r="F110" s="40" t="str">
        <x:v>Довести PG-3 из сохранённого 4c020d8; затем PG-4/E2E. PG-1a/1b/2 уже установлены и включены на DEV.</x:v>
      </x:c>
      <x:c r="G110" s="40" t="str">
        <x:v>391,440,441</x:v>
      </x:c>
      <x:c r="H110" s="40" t="str">
        <x:v>https://github.com/anpavel84-afk/gobadminton-clean/issues/372</x:v>
      </x:c>
      <x:c r="I110" s="40" t="str">
        <x:v>Высокая: live DB и PG3 candidate</x:v>
      </x:c>
      <x:c r="J110" s="40" t="str">
        <x:v>Не применено</x:v>
      </x:c>
    </x:row>
    <x:row r="111" ht="52" customHeight="1">
      <x:c r="A111" s="40" t="n">
        <x:v>373</x:v>
      </x:c>
      <x:c r="B111" s="40" t="str">
        <x:v>Площадки: контакты, договорённость, статус</x:v>
      </x:c>
      <x:c r="C111" s="40" t="str">
        <x:v>OPEN</x:v>
      </x:c>
      <x:c r="D111" s="40" t="str">
        <x:v>Актуальный остаток</x:v>
      </x:c>
      <x:c r="E111" s="40" t="str">
        <x:v>#373</x:v>
      </x:c>
      <x:c r="F111" s="40" t="str">
        <x:v>Сохранить только договорённость о корте, ручной статус брони и связи с #386/#422; API/admin/галерею не переделывать.</x:v>
      </x:c>
      <x:c r="G111" s="40" t="str">
        <x:v>83,145,187,206,210,272,426,427,428</x:v>
      </x:c>
      <x:c r="H111" s="40" t="str">
        <x:v>https://github.com/anpavel84-afk/gobadminton-clean/issues/373</x:v>
      </x:c>
      <x:c r="I111" s="40" t="str">
        <x:v>Высокая по разнице scope</x:v>
      </x:c>
      <x:c r="J111" s="40" t="str">
        <x:v>Не применено</x:v>
      </x:c>
    </x:row>
    <x:row r="112" ht="80" customHeight="1">
      <x:c r="A112" s="40" t="n">
        <x:v>375</x:v>
      </x:c>
      <x:c r="B112" s="40" t="str">
        <x:v>PG-1a: outcome и история исправлений</x:v>
      </x:c>
      <x:c r="C112" s="40" t="str">
        <x:v>OPEN</x:v>
      </x:c>
      <x:c r="D112" s="40" t="str">
        <x:v>Технически выпущена</x:v>
      </x:c>
      <x:c r="E112" s="40" t="str">
        <x:v>Реестр поставленного / UAT</x:v>
      </x:c>
      <x:c r="F112" s="40" t="str">
        <x:v>API outcome и revisions выпущены PR391 и присутствуют в DEV. Старый claim всё ещё BLOCKED/wait_deploy — несведённая операционная запись, не повод повторить автора. Продуктовый остаток только #372 PG3/4.</x:v>
      </x:c>
      <x:c r="G112" s="40" t="str">
        <x:v>391</x:v>
      </x:c>
      <x:c r="H112" s="40" t="str">
        <x:v>https://github.com/anpavel84-afk/gobadminton-clean/issues/375</x:v>
      </x:c>
      <x:c r="I112" s="40" t="str">
        <x:v>Высокая: установленный source/таблицы + отдельный старый claim</x:v>
      </x:c>
      <x:c r="J112" s="40" t="str">
        <x:v>Не применено</x:v>
      </x:c>
    </x:row>
    <x:row r="113" ht="66" customHeight="1">
      <x:c r="A113" s="40" t="n">
        <x:v>386</x:v>
      </x:c>
      <x:c r="B113" s="40" t="str">
        <x:v>Контакты и помощь о корте при создании</x:v>
      </x:c>
      <x:c r="C113" s="40" t="str">
        <x:v>OPEN</x:v>
      </x:c>
      <x:c r="D113" s="40" t="str">
        <x:v>Актуальный остаток</x:v>
      </x:c>
      <x:c r="E113" s="40" t="str">
        <x:v>#386</x:v>
      </x:c>
      <x:c r="F113" s="40" t="str">
        <x:v>Доставки продукта нет. Отвязать задачу от обязательной AGY-квалификации и выполнить действующим автором; старые 3 попытки не повторять.</x:v>
      </x:c>
      <x:c r="G113" s="40" t="str">
        <x:v>не выпущен; 3 старые AGY-попытки BLOCKED</x:v>
      </x:c>
      <x:c r="H113" s="40" t="str">
        <x:v>https://github.com/anpavel84-afk/gobadminton-clean/issues/386</x:v>
      </x:c>
      <x:c r="I113" s="40" t="str">
        <x:v>Высокая: claim BLOCKED без candidate</x:v>
      </x:c>
      <x:c r="J113" s="40" t="str">
        <x:v>Не применено</x:v>
      </x:c>
    </x:row>
    <x:row r="114" ht="52" customHeight="1">
      <x:c r="A114" s="40" t="n">
        <x:v>394</x:v>
      </x:c>
      <x:c r="B114" s="40" t="str">
        <x:v>Единый UI; добавлены публичные комментарии</x:v>
      </x:c>
      <x:c r="C114" s="40" t="str">
        <x:v>OPEN</x:v>
      </x:c>
      <x:c r="D114" s="40" t="str">
        <x:v>Актуальный остаток</x:v>
      </x:c>
      <x:c r="E114" s="40" t="str">
        <x:v>#394</x:v>
      </x:c>
      <x:c r="F114" s="40" t="str">
        <x:v>Общий UI уже поставлен. Выделить остаток — согласованные 01.11 комментарии к игре/площадке/игроку; это не PG3 и не новый редизайн.</x:v>
      </x:c>
      <x:c r="G114" s="40" t="str">
        <x:v>395,396,397,408,409,415; комментарии — только согласованный дизайн</x:v>
      </x:c>
      <x:c r="H114" s="40" t="str">
        <x:v>https://github.com/anpavel84-afk/gobadminton-clean/issues/394</x:v>
      </x:c>
      <x:c r="I114" s="40" t="str">
        <x:v>Высокая: #372 comment 6555581830</x:v>
      </x:c>
      <x:c r="J114" s="40" t="str">
        <x:v>Не применено</x:v>
      </x:c>
    </x:row>
    <x:row r="115" ht="66" customHeight="1">
      <x:c r="A115" s="40" t="n">
        <x:v>398</x:v>
      </x:c>
      <x:c r="B115" s="40" t="str">
        <x:v>Стабильность DEV Radar и тестовых профилей</x:v>
      </x:c>
      <x:c r="C115" s="40" t="str">
        <x:v>OPEN</x:v>
      </x:c>
      <x:c r="D115" s="40" t="str">
        <x:v>Технически выпущена</x:v>
      </x:c>
      <x:c r="E115" s="40" t="str">
        <x:v>Реестр поставленного / UAT</x:v>
      </x:c>
      <x:c r="F115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15" s="40" t="str">
        <x:v>399,412</x:v>
      </x:c>
      <x:c r="H115" s="40" t="str">
        <x:v>https://github.com/anpavel84-afk/gobadminton-clean/issues/398</x:v>
      </x:c>
      <x:c r="I115" s="40" t="str">
        <x:v>Высокая по Git ancestry; не финальная Owner-приёмка</x:v>
      </x:c>
      <x:c r="J115" s="40" t="str">
        <x:v>Не применено</x:v>
      </x:c>
    </x:row>
    <x:row r="116" ht="66" customHeight="1">
      <x:c r="A116" s="40" t="n">
        <x:v>400</x:v>
      </x:c>
      <x:c r="B116" s="40" t="str">
        <x:v>Не приглашать в прошедшие/закрытые игры</x:v>
      </x:c>
      <x:c r="C116" s="40" t="str">
        <x:v>OPEN</x:v>
      </x:c>
      <x:c r="D116" s="40" t="str">
        <x:v>Технически выпущена</x:v>
      </x:c>
      <x:c r="E116" s="40" t="str">
        <x:v>Реестр поставленного / UAT</x:v>
      </x:c>
      <x:c r="F116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16" s="40" t="str">
        <x:v>401</x:v>
      </x:c>
      <x:c r="H116" s="40" t="str">
        <x:v>https://github.com/anpavel84-afk/gobadminton-clean/issues/400</x:v>
      </x:c>
      <x:c r="I116" s="40" t="str">
        <x:v>Высокая по Git ancestry; не финальная Owner-приёмка</x:v>
      </x:c>
      <x:c r="J116" s="40" t="str">
        <x:v>Не применено</x:v>
      </x:c>
    </x:row>
    <x:row r="117" ht="52" customHeight="1">
      <x:c r="A117" s="40" t="n">
        <x:v>402</x:v>
      </x:c>
      <x:c r="B117" s="40" t="str">
        <x:v>Свой профиль: обложка и действия</x:v>
      </x:c>
      <x:c r="C117" s="40" t="str">
        <x:v>OPEN</x:v>
      </x:c>
      <x:c r="D117" s="40" t="str">
        <x:v>Технически выпущена</x:v>
      </x:c>
      <x:c r="E117" s="40" t="str">
        <x:v>Реестр поставленного / UAT</x:v>
      </x:c>
      <x:c r="F117" s="40" t="str">
        <x:v>Обложка восстановлена #403, действия улучшены #452; DEV alpha.10. Не переделывать; пользовательская приёмка и продвижение отдельно.</x:v>
      </x:c>
      <x:c r="G117" s="40" t="str">
        <x:v>403,452</x:v>
      </x:c>
      <x:c r="H117" s="40" t="str">
        <x:v>https://github.com/anpavel84-afk/gobadminton-clean/issues/402</x:v>
      </x:c>
      <x:c r="I117" s="40" t="str">
        <x:v>Высокая: installed source</x:v>
      </x:c>
      <x:c r="J117" s="40" t="str">
        <x:v>Не применено</x:v>
      </x:c>
    </x:row>
    <x:row r="118" ht="66" customHeight="1">
      <x:c r="A118" s="40" t="n">
        <x:v>404</x:v>
      </x:c>
      <x:c r="B118" s="40" t="str">
        <x:v>Листалка игроков / взаимный интерес</x:v>
      </x:c>
      <x:c r="C118" s="40" t="str">
        <x:v>OPEN</x:v>
      </x:c>
      <x:c r="D118" s="40" t="str">
        <x:v>Технически выпущена</x:v>
      </x:c>
      <x:c r="E118" s="40" t="str">
        <x:v>Реестр поставленного / UAT</x:v>
      </x:c>
      <x:c r="F118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18" s="40" t="str">
        <x:v>405,407,411,414,417,418,419,420,421,423,429,451</x:v>
      </x:c>
      <x:c r="H118" s="40" t="str">
        <x:v>https://github.com/anpavel84-afk/gobadminton-clean/issues/404</x:v>
      </x:c>
      <x:c r="I118" s="40" t="str">
        <x:v>Высокая по Git ancestry; не финальная Owner-приёмка</x:v>
      </x:c>
      <x:c r="J118" s="40" t="str">
        <x:v>Не применено</x:v>
      </x:c>
    </x:row>
    <x:row r="119" ht="66" customHeight="1">
      <x:c r="A119" s="40" t="n">
        <x:v>406</x:v>
      </x:c>
      <x:c r="B119" s="40" t="str">
        <x:v>Оптимизация фото и предзагрузка</x:v>
      </x:c>
      <x:c r="C119" s="40" t="str">
        <x:v>OPEN</x:v>
      </x:c>
      <x:c r="D119" s="40" t="str">
        <x:v>Проверка и точечный остаток</x:v>
      </x:c>
      <x:c r="E119" s="40" t="str">
        <x:v>#406</x:v>
      </x:c>
      <x:c r="F119" s="40" t="str">
        <x:v>Слайдер уже предзагружает фото (#410/#413). Оставить измерение задержек остальных surfaces и только доказанный остаток; связать с картой #445.</x:v>
      </x:c>
      <x:c r="G119" s="40" t="str">
        <x:v>410,413; полный охват ещё проверить</x:v>
      </x:c>
      <x:c r="H119" s="40" t="str">
        <x:v>https://github.com/anpavel84-afk/gobadminton-clean/issues/406</x:v>
      </x:c>
      <x:c r="I119" s="40" t="str">
        <x:v>Средняя: весь заявленный охват не принят</x:v>
      </x:c>
      <x:c r="J119" s="40" t="str">
        <x:v>Не применено</x:v>
      </x:c>
    </x:row>
    <x:row r="120" ht="66" customHeight="1">
      <x:c r="A120" s="40" t="n">
        <x:v>422</x:v>
      </x:c>
      <x:c r="B120" s="40" t="str">
        <x:v>Наполнение площадок + фотогалерея</x:v>
      </x:c>
      <x:c r="C120" s="40" t="str">
        <x:v>OPEN</x:v>
      </x:c>
      <x:c r="D120" s="40" t="str">
        <x:v>Актуальный остаток</x:v>
      </x:c>
      <x:c r="E120" s="40" t="str">
        <x:v>#422</x:v>
      </x:c>
      <x:c r="F120" s="40" t="str">
        <x:v>Сохранить контент-остаток: 62/99 контактов, 8/99 площадок с настоящими фото, 38/99 описаний, 3 галереи с &gt;=2 фото. API/Admin/галерея уже есть.</x:v>
      </x:c>
      <x:c r="G120" s="40" t="str">
        <x:v>426,427,428,430</x:v>
      </x:c>
      <x:c r="H120" s="40" t="str">
        <x:v>https://github.com/anpavel84-afk/gobadminton-clean/issues/422</x:v>
      </x:c>
      <x:c r="I120" s="40" t="str">
        <x:v>Высокая: live read-only SQL</x:v>
      </x:c>
      <x:c r="J120" s="40" t="str">
        <x:v>Не применено</x:v>
      </x:c>
    </x:row>
    <x:row r="121" ht="66" customHeight="1">
      <x:c r="A121" s="40" t="n">
        <x:v>424</x:v>
      </x:c>
      <x:c r="B121" s="40" t="str">
        <x:v>Поля date/time и диалог приглашения</x:v>
      </x:c>
      <x:c r="C121" s="40" t="str">
        <x:v>OPEN</x:v>
      </x:c>
      <x:c r="D121" s="40" t="str">
        <x:v>Технически выпущена</x:v>
      </x:c>
      <x:c r="E121" s="40" t="str">
        <x:v>Реестр поставленного / UAT</x:v>
      </x:c>
      <x:c r="F121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21" s="40" t="str">
        <x:v>425</x:v>
      </x:c>
      <x:c r="H121" s="40" t="str">
        <x:v>https://github.com/anpavel84-afk/gobadminton-clean/issues/424</x:v>
      </x:c>
      <x:c r="I121" s="40" t="str">
        <x:v>Высокая по Git ancestry; не финальная Owner-приёмка</x:v>
      </x:c>
      <x:c r="J121" s="40" t="str">
        <x:v>Не применено</x:v>
      </x:c>
    </x:row>
    <x:row r="122" ht="66" customHeight="1">
      <x:c r="A122" s="40" t="n">
        <x:v>432</x:v>
      </x:c>
      <x:c r="B122" s="40" t="str">
        <x:v>Уровень игроков — диапазон с двумя ручками</x:v>
      </x:c>
      <x:c r="C122" s="40" t="str">
        <x:v>OPEN</x:v>
      </x:c>
      <x:c r="D122" s="40" t="str">
        <x:v>Технически выпущена</x:v>
      </x:c>
      <x:c r="E122" s="40" t="str">
        <x:v>Реестр поставленного / UAT</x:v>
      </x:c>
      <x:c r="F122" s="40" t="str">
        <x:v>Есть объединённая реализация в истории текущего DEV. Не ставить исходный объём повторно; оставшуюся пользовательскую проверку учитывать отдельно.</x:v>
      </x:c>
      <x:c r="G122" s="40" t="str">
        <x:v>433,446</x:v>
      </x:c>
      <x:c r="H122" s="40" t="str">
        <x:v>https://github.com/anpavel84-afk/gobadminton-clean/issues/432</x:v>
      </x:c>
      <x:c r="I122" s="40" t="str">
        <x:v>Высокая по Git ancestry; не финальная Owner-приёмка</x:v>
      </x:c>
      <x:c r="J122" s="40" t="str">
        <x:v>Не применено</x:v>
      </x:c>
    </x:row>
    <x:row r="123" ht="52" customHeight="1">
      <x:c r="A123" s="40" t="n">
        <x:v>434</x:v>
      </x:c>
      <x:c r="B123" s="40" t="str">
        <x:v>Версия приложения и история релизов</x:v>
      </x:c>
      <x:c r="C123" s="40" t="str">
        <x:v>OPEN</x:v>
      </x:c>
      <x:c r="D123" s="40" t="str">
        <x:v>Технически выпущена</x:v>
      </x:c>
      <x:c r="E123" s="40" t="str">
        <x:v>Реестр поставленного / UAT</x:v>
      </x:c>
      <x:c r="F123" s="40" t="str">
        <x:v>Нумерация и /releases реализованы #437/#451. Не делать новый release-monitor; поддерживать обычным текущим выпуском.</x:v>
      </x:c>
      <x:c r="G123" s="40" t="str">
        <x:v>437,451</x:v>
      </x:c>
      <x:c r="H123" s="40" t="str">
        <x:v>https://github.com/anpavel84-afk/gobadminton-clean/issues/434</x:v>
      </x:c>
      <x:c r="I123" s="40" t="str">
        <x:v>Высокая: live health/release source</x:v>
      </x:c>
      <x:c r="J123" s="40" t="str">
        <x:v>Не применено</x:v>
      </x:c>
    </x:row>
    <x:row r="124" ht="52" customHeight="1">
      <x:c r="A124" s="40" t="n">
        <x:v>435</x:v>
      </x:c>
      <x:c r="B124" s="40" t="str">
        <x:v>PROD: паритет Friends/Match/Map</x:v>
      </x:c>
      <x:c r="C124" s="40" t="str">
        <x:v>OPEN</x:v>
      </x:c>
      <x:c r="D124" s="40" t="str">
        <x:v>Технически выпущена</x:v>
      </x:c>
      <x:c r="E124" s="40" t="str">
        <x:v>Реестр поставленного / UAT</x:v>
      </x:c>
      <x:c r="F124" s="40" t="str">
        <x:v>Canonical PROD origin parity исправлен #436. Последующий разрыв alpha.10/alpha.8 — новый выпуск, не повтор старой задачи.</x:v>
      </x:c>
      <x:c r="G124" s="40" t="str">
        <x:v>431,436</x:v>
      </x:c>
      <x:c r="H124" s="40" t="str">
        <x:v>https://github.com/anpavel84-afk/gobadminton-clean/issues/435</x:v>
      </x:c>
      <x:c r="I124" s="40" t="str">
        <x:v>Высокая: DEV/PROD fingerprints</x:v>
      </x:c>
      <x:c r="J124" s="40" t="str">
        <x:v>Не применено</x:v>
      </x:c>
    </x:row>
    <x:row r="125" ht="66" customHeight="1">
      <x:c r="A125" s="40" t="n">
        <x:v>438</x:v>
      </x:c>
      <x:c r="B125" s="40" t="str">
        <x:v>Исправить ложное исчерпание листалки</x:v>
      </x:c>
      <x:c r="C125" s="40" t="str">
        <x:v>OPEN</x:v>
      </x:c>
      <x:c r="D125" s="40" t="str">
        <x:v>Технически выпущена</x:v>
      </x:c>
      <x:c r="E125" s="40" t="str">
        <x:v>Реестр поставленного / UAT</x:v>
      </x:c>
      <x:c r="F125" s="40" t="str">
        <x:v>Исходная ложная exhausted-логика исправлена #439 и прошла DEV/PROD поставку. Новый воспроизводимый дефект — отдельная регрессия, не возобновление старого прохода.</x:v>
      </x:c>
      <x:c r="G125" s="40" t="str">
        <x:v>439</x:v>
      </x:c>
      <x:c r="H125" s="40" t="str">
        <x:v>https://github.com/anpavel84-afk/gobadminton-clean/issues/438</x:v>
      </x:c>
      <x:c r="I125" s="40" t="str">
        <x:v>Высокая: release receipt</x:v>
      </x:c>
      <x:c r="J125" s="40" t="str">
        <x:v>Не применено</x:v>
      </x:c>
    </x:row>
    <x:row r="126" ht="66" customHeight="1">
      <x:c r="A126" s="40" t="n">
        <x:v>442</x:v>
      </x:c>
      <x:c r="B126" s="40" t="str">
        <x:v>REG.RU SMTP и email-code очередь</x:v>
      </x:c>
      <x:c r="C126" s="40" t="str">
        <x:v>OPEN</x:v>
      </x:c>
      <x:c r="D126" s="40" t="str">
        <x:v>Проверка и точечный остаток</x:v>
      </x:c>
      <x:c r="E126" s="40" t="str">
        <x:v>#442</x:v>
      </x:c>
      <x:c r="F126" s="40" t="str">
        <x:v>SMTP и email-код работают на DEV; не искать пароль заново. Остаток: полный auth/link/recovery UAT и отдельно разрешённая PROD-активация.</x:v>
      </x:c>
      <x:c r="G126" s="40" t="str">
        <x:v>443,444</x:v>
      </x:c>
      <x:c r="H126" s="40" t="str">
        <x:v>https://github.com/anpavel84-afk/gobadminton-clean/issues/442</x:v>
      </x:c>
      <x:c r="I126" s="40" t="str">
        <x:v>Высокая: runtime smtp + браузерный отчёт</x:v>
      </x:c>
      <x:c r="J126" s="40" t="str">
        <x:v>Не применено</x:v>
      </x:c>
    </x:row>
    <x:row r="127" ht="66" customHeight="1">
      <x:c r="A127" s="40" t="n">
        <x:v>445</x:v>
      </x:c>
      <x:c r="B127" s="40" t="str">
        <x:v>Visual QA: карта, чат и исправленные UI</x:v>
      </x:c>
      <x:c r="C127" s="40" t="str">
        <x:v>OPEN</x:v>
      </x:c>
      <x:c r="D127" s="40" t="str">
        <x:v>Проверка и точечный остаток</x:v>
      </x:c>
      <x:c r="E127" s="40" t="str">
        <x:v>#445</x:v>
      </x:c>
      <x:c r="F127" s="40" t="str">
        <x:v>Оставить карту и валидный E2E чата. Ползунок, Friends guidance, map-route, wording/recommendations исправлены. Чат для неучастника 404 — ожидаемо.</x:v>
      </x:c>
      <x:c r="G127" s="40" t="str">
        <x:v>446,447,449</x:v>
      </x:c>
      <x:c r="H127" s="40" t="str">
        <x:v>https://github.com/anpavel84-afk/gobadminton-clean/issues/445</x:v>
      </x:c>
      <x:c r="I127" s="40" t="str">
        <x:v>Высокая для исправленных; карта/чат требуют роли и воспроизведения</x:v>
      </x:c>
      <x:c r="J127" s="40" t="str">
        <x:v>Не применено</x:v>
      </x:c>
    </x:row>
    <x:row r="128" ht="52" customHeight="1">
      <x:c r="A128" s="40" t="n">
        <x:v>448</x:v>
      </x:c>
      <x:c r="B128" s="40" t="str">
        <x:v>Социальные defaults ON; opt-out сохраняется</x:v>
      </x:c>
      <x:c r="C128" s="40" t="str">
        <x:v>OPEN</x:v>
      </x:c>
      <x:c r="D128" s="40" t="str">
        <x:v>Технически выпущена</x:v>
      </x:c>
      <x:c r="E128" s="40" t="str">
        <x:v>Реестр поставленного / UAT</x:v>
      </x:c>
      <x:c r="F128" s="40" t="str">
        <x:v>Настройки ON по умолчанию реализованы и в DEV/PROD; явные/неясные реальные OFF сохранены. Не выполнять повторное массовое включение.</x:v>
      </x:c>
      <x:c r="G128" s="40" t="str">
        <x:v>449</x:v>
      </x:c>
      <x:c r="H128" s="40" t="str">
        <x:v>https://github.com/anpavel84-afk/gobadminton-clean/issues/448</x:v>
      </x:c>
      <x:c r="I128" s="40" t="str">
        <x:v>Высокая: PR449 + readback</x:v>
      </x:c>
      <x:c r="J128" s="40" t="str">
        <x:v>Не применено</x:v>
      </x:c>
    </x:row>
    <x:row r="129" ht="80" customHeight="1">
      <x:c r="A129" s="40" t="n">
        <x:v>450</x:v>
      </x:c>
      <x:c r="B129" s="40" t="str">
        <x:v>Visual QA: публичные имена и спорные 404</x:v>
      </x:c>
      <x:c r="C129" s="40" t="str">
        <x:v>OPEN</x:v>
      </x:c>
      <x:c r="D129" s="40" t="str">
        <x:v>Проверка и точечный остаток</x:v>
      </x:c>
      <x:c r="E129" s="40" t="str">
        <x:v>#450</x:v>
      </x:c>
      <x:c r="F129" s="40" t="str">
        <x:v>Email-имена и release notes исправлены в #451. Видимая неизменённая синтетическая фикстура — by design; trainer 404 не авария. Проверить реальные opt-out/участника, не чинить ожидаемый отказ.</x:v>
      </x:c>
      <x:c r="G129" s="40" t="str">
        <x:v>451</x:v>
      </x:c>
      <x:c r="H129" s="40" t="str">
        <x:v>https://github.com/anpavel84-afk/gobadminton-clean/issues/450</x:v>
      </x:c>
      <x:c r="I129" s="40" t="str">
        <x:v>Высокая: source/readback/retest; не blanket P0</x:v>
      </x:c>
      <x:c r="J129" s="40" t="str">
        <x:v>Не применено</x:v>
      </x:c>
    </x:row>
  </x:sheetData>
  <x:mergeCells>
    <x:mergeCell ref="A1:J2"/>
    <x:mergeCell ref="A3:J3"/>
  </x:mergeCells>
  <x:dataValidations count="1">
    <x:dataValidation type="list" sqref="J6:J129">
      <x:formula1>"Не применено,Одобрить,Нужна проверка,Не менять"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dabff9fdbd495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33" hidden="0" customWidth="1"/>
    <x:col min="4" max="4" width="34" hidden="0" customWidth="1"/>
    <x:col min="5" max="5" width="40" hidden="0" customWidth="1"/>
    <x:col min="6" max="6" width="36" hidden="0" customWidth="1"/>
    <x:col min="7" max="7" width="36" hidden="0" customWidth="1"/>
  </x:cols>
  <x:sheetData>
    <x:row r="1" ht="24" customHeight="1">
      <x:c r="A1" s="28" t="str">
        <x:v>142 старых требования — не 142 новые задачи</x:v>
      </x:c>
      <x:c r="B1" s="28"/>
      <x:c r="C1" s="28"/>
      <x:c r="D1" s="28"/>
      <x:c r="E1" s="28"/>
      <x:c r="F1" s="28"/>
      <x:c r="G1" s="28"/>
    </x:row>
    <x:row r="2" ht="24" customHeight="1">
      <x:c r="A2" s="28"/>
      <x:c r="B2" s="28"/>
      <x:c r="C2" s="28"/>
      <x:c r="D2" s="28"/>
      <x:c r="E2" s="28"/>
      <x:c r="F2" s="28"/>
      <x:c r="G2" s="28"/>
    </x:row>
    <x:row r="3" ht="34" customHeight="1">
      <x:c r="A3" s="33" t="str">
        <x:v>Смысл GB сохранён. Исторические accepted/blocked не переносились как текущие статусы. Разметка — рекомендуемая связь с нынешним продуктом, не повторная полная QA.</x:v>
      </x:c>
      <x:c r="B3" s="33"/>
      <x:c r="C3" s="33"/>
      <x:c r="D3" s="33"/>
      <x:c r="E3" s="33"/>
      <x:c r="F3" s="33"/>
      <x:c r="G3" s="33"/>
    </x:row>
    <x:row r="5" ht="30" customHeight="1">
      <x:c r="A5" s="44" t="str">
        <x:v>Legacy ID</x:v>
      </x:c>
      <x:c r="B5" s="44" t="str">
        <x:v>Исходное требование</x:v>
      </x:c>
      <x:c r="C5" s="44" t="str">
        <x:v>Актуальность</x:v>
      </x:c>
      <x:c r="D5" s="44" t="str">
        <x:v>Канонический остаток</x:v>
      </x:c>
      <x:c r="E5" s="44" t="str">
        <x:v>Почему / что проверить</x:v>
      </x:c>
      <x:c r="F5" s="44" t="str">
        <x:v>Текущий источник</x:v>
      </x:c>
      <x:c r="G5" s="44" t="str">
        <x:v>Архивный реестр</x:v>
      </x:c>
    </x:row>
    <x:row r="6" ht="66" customHeight="1">
      <x:c r="A6" s="40" t="str">
        <x:v>GB-001</x:v>
      </x:c>
      <x:c r="B6" s="40" t="str">
        <x:v>Показывать каталог игр с карточками и фильтрами</x:v>
      </x:c>
      <x:c r="C6" s="40" t="str">
        <x:v>Покрыто / точечная приёмка</x:v>
      </x:c>
      <x:c r="D6" s="40" t="str">
        <x:v>Игры / #182 / #445</x:v>
      </x:c>
      <x:c r="E6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6" s="40" t="str">
        <x:v>https://github.com/anpavel84-afk/gobadminton-clean/pull/367</x:v>
      </x:c>
      <x:c r="G6" s="40" t="str">
        <x:v>https://github.com/anpavel84-afk/gobadminton/blob/main/docs/product/backlog/registry.json</x:v>
      </x:c>
    </x:row>
    <x:row r="7" ht="66" customHeight="1">
      <x:c r="A7" s="40" t="str">
        <x:v>GB-002</x:v>
      </x:c>
      <x:c r="B7" s="40" t="str">
        <x:v>Создавать свою игру и видеть её после сохранения</x:v>
      </x:c>
      <x:c r="C7" s="40" t="str">
        <x:v>Покрыто / точечная приёмка</x:v>
      </x:c>
      <x:c r="D7" s="40" t="str">
        <x:v>Игры / #182 / #445</x:v>
      </x:c>
      <x:c r="E7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7" s="40" t="str">
        <x:v>https://github.com/anpavel84-afk/gobadminton-clean/pull/367</x:v>
      </x:c>
      <x:c r="G7" s="40" t="str">
        <x:v>https://github.com/anpavel84-afk/gobadminton/blob/main/docs/product/backlog/registry.json</x:v>
      </x:c>
    </x:row>
    <x:row r="8" ht="66" customHeight="1">
      <x:c r="A8" s="40" t="str">
        <x:v>GB-003</x:v>
      </x:c>
      <x:c r="B8" s="40" t="str">
        <x:v>Выбирать площадку из полного списка с поиском</x:v>
      </x:c>
      <x:c r="C8" s="40" t="str">
        <x:v>Покрыто / точечная приёмка</x:v>
      </x:c>
      <x:c r="D8" s="40" t="str">
        <x:v>Игры / #182 / #445</x:v>
      </x:c>
      <x:c r="E8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8" s="40" t="str">
        <x:v>https://github.com/anpavel84-afk/gobadminton-clean/pull/367</x:v>
      </x:c>
      <x:c r="G8" s="40" t="str">
        <x:v>https://github.com/anpavel84-afk/gobadminton/blob/main/docs/product/backlog/registry.json</x:v>
      </x:c>
    </x:row>
    <x:row r="9" ht="66" customHeight="1">
      <x:c r="A9" s="40" t="str">
        <x:v>GB-004</x:v>
      </x:c>
      <x:c r="B9" s="40" t="str">
        <x:v>Сохранять контакт организатора для следующих игр</x:v>
      </x:c>
      <x:c r="C9" s="40" t="str">
        <x:v>Покрыто / точечная приёмка</x:v>
      </x:c>
      <x:c r="D9" s="40" t="str">
        <x:v>Игры / #182 / #445</x:v>
      </x:c>
      <x:c r="E9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9" s="40" t="str">
        <x:v>https://github.com/anpavel84-afk/gobadminton-clean/pull/367</x:v>
      </x:c>
      <x:c r="G9" s="40" t="str">
        <x:v>https://github.com/anpavel84-afk/gobadminton/blob/main/docs/product/backlog/registry.json</x:v>
      </x:c>
    </x:row>
    <x:row r="10" ht="66" customHeight="1">
      <x:c r="A10" s="40" t="str">
        <x:v>GB-005</x:v>
      </x:c>
      <x:c r="B10" s="40" t="str">
        <x:v>Считать организатора первым участником обычной игры</x:v>
      </x:c>
      <x:c r="C10" s="40" t="str">
        <x:v>Покрыто / точечная приёмка</x:v>
      </x:c>
      <x:c r="D10" s="40" t="str">
        <x:v>Игры / #182 / #445</x:v>
      </x:c>
      <x:c r="E10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10" s="40" t="str">
        <x:v>https://github.com/anpavel84-afk/gobadminton-clean/pull/367</x:v>
      </x:c>
      <x:c r="G10" s="40" t="str">
        <x:v>https://github.com/anpavel84-afk/gobadminton/blob/main/docs/product/backlog/registry.json</x:v>
      </x:c>
    </x:row>
    <x:row r="11" ht="66" customHeight="1">
      <x:c r="A11" s="40" t="str">
        <x:v>GB-006</x:v>
      </x:c>
      <x:c r="B11" s="40" t="str">
        <x:v>Подавать заявку на участие в игре</x:v>
      </x:c>
      <x:c r="C11" s="40" t="str">
        <x:v>Покрыто / точечная приёмка</x:v>
      </x:c>
      <x:c r="D11" s="40" t="str">
        <x:v>Игры / #182 / #445</x:v>
      </x:c>
      <x:c r="E11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11" s="40" t="str">
        <x:v>https://github.com/anpavel84-afk/gobadminton-clean/pull/367</x:v>
      </x:c>
      <x:c r="G11" s="40" t="str">
        <x:v>https://github.com/anpavel84-afk/gobadminton/blob/main/docs/product/backlog/registry.json</x:v>
      </x:c>
    </x:row>
    <x:row r="12" ht="66" customHeight="1">
      <x:c r="A12" s="40" t="str">
        <x:v>GB-007</x:v>
      </x:c>
      <x:c r="B12" s="40" t="str">
        <x:v>Подтверждать, отклонять и отменять участие</x:v>
      </x:c>
      <x:c r="C12" s="40" t="str">
        <x:v>Покрыто / точечная приёмка</x:v>
      </x:c>
      <x:c r="D12" s="40" t="str">
        <x:v>Игры / #182 / #445</x:v>
      </x:c>
      <x:c r="E12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12" s="40" t="str">
        <x:v>https://github.com/anpavel84-afk/gobadminton-clean/pull/367</x:v>
      </x:c>
      <x:c r="G12" s="40" t="str">
        <x:v>https://github.com/anpavel84-afk/gobadminton/blob/main/docs/product/backlog/registry.json</x:v>
      </x:c>
    </x:row>
    <x:row r="13" ht="66" customHeight="1">
      <x:c r="A13" s="40" t="str">
        <x:v>GB-008</x:v>
      </x:c>
      <x:c r="B13" s="40" t="str">
        <x:v>Упорядочить управление своей игрой и кнопку «Назад»</x:v>
      </x:c>
      <x:c r="C13" s="40" t="str">
        <x:v>Покрыто / точечная приёмка</x:v>
      </x:c>
      <x:c r="D13" s="40" t="str">
        <x:v>Игры / #182 / #445</x:v>
      </x:c>
      <x:c r="E13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13" s="40" t="str">
        <x:v>https://github.com/anpavel84-afk/gobadminton-clean/pull/367</x:v>
      </x:c>
      <x:c r="G13" s="40" t="str">
        <x:v>https://github.com/anpavel84-afk/gobadminton/blob/main/docs/product/backlog/registry.json</x:v>
      </x:c>
    </x:row>
    <x:row r="14" ht="52" customHeight="1">
      <x:c r="A14" s="40" t="str">
        <x:v>GB-009</x:v>
      </x:c>
      <x:c r="B14" s="40" t="str">
        <x:v>Исправить заголовки места и времени на компьютере, сохранить мобильный вид</x:v>
      </x:c>
      <x:c r="C14" s="40" t="str">
        <x:v>Отменено / не возвращать</x:v>
      </x:c>
      <x:c r="D14" s="40" t="str">
        <x:v>История</x:v>
      </x:c>
      <x:c r="E14" s="40" t="str">
        <x:v>Старая карточка уже cancelled. Более поздний утверждённый responsive UI — актуальное основание.</x:v>
      </x:c>
      <x:c r="F14" s="40" t="str">
        <x:v>https://github.com/anpavel84-afk/gobadminton-clean/pull/367</x:v>
      </x:c>
      <x:c r="G14" s="40" t="str">
        <x:v>https://github.com/anpavel84-afk/gobadminton/blob/main/docs/product/backlog/registry.json</x:v>
      </x:c>
    </x:row>
    <x:row r="15" ht="66" customHeight="1">
      <x:c r="A15" s="40" t="str">
        <x:v>GB-010</x:v>
      </x:c>
      <x:c r="B15" s="40" t="str">
        <x:v>Добавить удобную кнопку «Поделиться игрой»</x:v>
      </x:c>
      <x:c r="C15" s="40" t="str">
        <x:v>Покрыто / точечная приёмка</x:v>
      </x:c>
      <x:c r="D15" s="40" t="str">
        <x:v>Игры / #182 / #445</x:v>
      </x:c>
      <x:c r="E15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15" s="40" t="str">
        <x:v>https://github.com/anpavel84-afk/gobadminton-clean/pull/367</x:v>
      </x:c>
      <x:c r="G15" s="40" t="str">
        <x:v>https://github.com/anpavel84-afk/gobadminton/blob/main/docs/product/backlog/registry.json</x:v>
      </x:c>
    </x:row>
    <x:row r="16" ht="66" customHeight="1">
      <x:c r="A16" s="40" t="str">
        <x:v>GB-011</x:v>
      </x:c>
      <x:c r="B16" s="40" t="str">
        <x:v>Поместить организатора и две кнопки карточки в одну строку на телефоне</x:v>
      </x:c>
      <x:c r="C16" s="40" t="str">
        <x:v>Покрыто / точечная приёмка</x:v>
      </x:c>
      <x:c r="D16" s="40" t="str">
        <x:v>Игры / #182 / #445</x:v>
      </x:c>
      <x:c r="E16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16" s="40" t="str">
        <x:v>https://github.com/anpavel84-afk/gobadminton-clean/pull/367</x:v>
      </x:c>
      <x:c r="G16" s="40" t="str">
        <x:v>https://github.com/anpavel84-afk/gobadminton/blob/main/docs/product/backlog/registry.json</x:v>
      </x:c>
    </x:row>
    <x:row r="17" ht="66" customHeight="1">
      <x:c r="A17" s="40" t="str">
        <x:v>GB-012</x:v>
      </x:c>
      <x:c r="B17" s="40" t="str">
        <x:v>Открывать чат игры из раздела сообщений</x:v>
      </x:c>
      <x:c r="C17" s="40" t="str">
        <x:v>Покрыто / точечная приёмка</x:v>
      </x:c>
      <x:c r="D17" s="40" t="str">
        <x:v>Игры / #182 / #445</x:v>
      </x:c>
      <x:c r="E17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17" s="40" t="str">
        <x:v>https://github.com/anpavel84-afk/gobadminton-clean/pull/367</x:v>
      </x:c>
      <x:c r="G17" s="40" t="str">
        <x:v>https://github.com/anpavel84-afk/gobadminton/blob/main/docs/product/backlog/registry.json</x:v>
      </x:c>
    </x:row>
    <x:row r="18" ht="66" customHeight="1">
      <x:c r="A18" s="40" t="str">
        <x:v>GB-013</x:v>
      </x:c>
      <x:c r="B18" s="40" t="str">
        <x:v>Приглашать игрока в игру от имени организатора</x:v>
      </x:c>
      <x:c r="C18" s="40" t="str">
        <x:v>Покрыто / точечная приёмка</x:v>
      </x:c>
      <x:c r="D18" s="40" t="str">
        <x:v>Игры / #182 / #445</x:v>
      </x:c>
      <x:c r="E18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18" s="40" t="str">
        <x:v>https://github.com/anpavel84-afk/gobadminton-clean/pull/367</x:v>
      </x:c>
      <x:c r="G18" s="40" t="str">
        <x:v>https://github.com/anpavel84-afk/gobadminton/blob/main/docs/product/backlog/registry.json</x:v>
      </x:c>
    </x:row>
    <x:row r="19" ht="66" customHeight="1">
      <x:c r="A19" s="40" t="str">
        <x:v>GB-014</x:v>
      </x:c>
      <x:c r="B19" s="40" t="str">
        <x:v>Предлагать другу чужую игру</x:v>
      </x:c>
      <x:c r="C19" s="40" t="str">
        <x:v>Покрыто / точечная приёмка</x:v>
      </x:c>
      <x:c r="D19" s="40" t="str">
        <x:v>Игры / #182 / #445</x:v>
      </x:c>
      <x:c r="E19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19" s="40" t="str">
        <x:v>https://github.com/anpavel84-afk/gobadminton-clean/pull/367</x:v>
      </x:c>
      <x:c r="G19" s="40" t="str">
        <x:v>https://github.com/anpavel84-afk/gobadminton/blob/main/docs/product/backlog/registry.json</x:v>
      </x:c>
    </x:row>
    <x:row r="20" ht="66" customHeight="1">
      <x:c r="A20" s="40" t="str">
        <x:v>GB-015</x:v>
      </x:c>
      <x:c r="B20" s="40" t="str">
        <x:v>Собирать приглашения и заявки в «Моих играх»</x:v>
      </x:c>
      <x:c r="C20" s="40" t="str">
        <x:v>Покрыто / точечная приёмка</x:v>
      </x:c>
      <x:c r="D20" s="40" t="str">
        <x:v>Игры / #182 / #445</x:v>
      </x:c>
      <x:c r="E20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0" s="40" t="str">
        <x:v>https://github.com/anpavel84-afk/gobadminton-clean/pull/367</x:v>
      </x:c>
      <x:c r="G20" s="40" t="str">
        <x:v>https://github.com/anpavel84-afk/gobadminton/blob/main/docs/product/backlog/registry.json</x:v>
      </x:c>
    </x:row>
    <x:row r="21" ht="66" customHeight="1">
      <x:c r="A21" s="40" t="str">
        <x:v>GB-016</x:v>
      </x:c>
      <x:c r="B21" s="40" t="str">
        <x:v>Показывать обычные игры и игры с тренером в одном поиске</x:v>
      </x:c>
      <x:c r="C21" s="40" t="str">
        <x:v>Покрыто / точечная приёмка</x:v>
      </x:c>
      <x:c r="D21" s="40" t="str">
        <x:v>Игры / #182 / #445</x:v>
      </x:c>
      <x:c r="E21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1" s="40" t="str">
        <x:v>https://github.com/anpavel84-afk/gobadminton-clean/pull/367</x:v>
      </x:c>
      <x:c r="G21" s="40" t="str">
        <x:v>https://github.com/anpavel84-afk/gobadminton/blob/main/docs/product/backlog/registry.json</x:v>
      </x:c>
    </x:row>
    <x:row r="22" ht="66" customHeight="1">
      <x:c r="A22" s="40" t="str">
        <x:v>GB-017</x:v>
      </x:c>
      <x:c r="B22" s="40" t="str">
        <x:v>Редактировать собственный игровой профиль</x:v>
      </x:c>
      <x:c r="C22" s="40" t="str">
        <x:v>Покрыто / точечная приёмка</x:v>
      </x:c>
      <x:c r="D22" s="40" t="str">
        <x:v>Профили / #402 / #308</x:v>
      </x:c>
      <x:c r="E22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2" s="40" t="str">
        <x:v>https://github.com/anpavel84-afk/gobadminton-clean/pull/452</x:v>
      </x:c>
      <x:c r="G22" s="40" t="str">
        <x:v>https://github.com/anpavel84-afk/gobadminton/blob/main/docs/product/backlog/registry.json</x:v>
      </x:c>
    </x:row>
    <x:row r="23" ht="66" customHeight="1">
      <x:c r="A23" s="40" t="str">
        <x:v>GB-018</x:v>
      </x:c>
      <x:c r="B23" s="40" t="str">
        <x:v>Загружать, менять и удалять аватар</x:v>
      </x:c>
      <x:c r="C23" s="40" t="str">
        <x:v>Покрыто / точечная приёмка</x:v>
      </x:c>
      <x:c r="D23" s="40" t="str">
        <x:v>Профили / #402 / #308</x:v>
      </x:c>
      <x:c r="E23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3" s="40" t="str">
        <x:v>https://github.com/anpavel84-afk/gobadminton-clean/pull/452</x:v>
      </x:c>
      <x:c r="G23" s="40" t="str">
        <x:v>https://github.com/anpavel84-afk/gobadminton/blob/main/docs/product/backlog/registry.json</x:v>
      </x:c>
    </x:row>
    <x:row r="24" ht="66" customHeight="1">
      <x:c r="A24" s="40" t="str">
        <x:v>GB-019</x:v>
      </x:c>
      <x:c r="B24" s="40" t="str">
        <x:v>Показывать текущий аватар в правом верхнем углу</x:v>
      </x:c>
      <x:c r="C24" s="40" t="str">
        <x:v>Покрыто / точечная приёмка</x:v>
      </x:c>
      <x:c r="D24" s="40" t="str">
        <x:v>Профили / #402 / #308</x:v>
      </x:c>
      <x:c r="E24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4" s="40" t="str">
        <x:v>https://github.com/anpavel84-afk/gobadminton-clean/pull/452</x:v>
      </x:c>
      <x:c r="G24" s="40" t="str">
        <x:v>https://github.com/anpavel84-afk/gobadminton/blob/main/docs/product/backlog/registry.json</x:v>
      </x:c>
    </x:row>
    <x:row r="25" ht="66" customHeight="1">
      <x:c r="A25" s="40" t="str">
        <x:v>GB-020</x:v>
      </x:c>
      <x:c r="B25" s="40" t="str">
        <x:v>Загружать собственную фотографию обложки профиля</x:v>
      </x:c>
      <x:c r="C25" s="40" t="str">
        <x:v>Покрыто / точечная приёмка</x:v>
      </x:c>
      <x:c r="D25" s="40" t="str">
        <x:v>Профили / #402 / #308</x:v>
      </x:c>
      <x:c r="E25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5" s="40" t="str">
        <x:v>https://github.com/anpavel84-afk/gobadminton-clean/pull/452</x:v>
      </x:c>
      <x:c r="G25" s="40" t="str">
        <x:v>https://github.com/anpavel84-afk/gobadminton/blob/main/docs/product/backlog/registry.json</x:v>
      </x:c>
    </x:row>
    <x:row r="26" ht="66" customHeight="1">
      <x:c r="A26" s="40" t="str">
        <x:v>GB-021</x:v>
      </x:c>
      <x:c r="B26" s="40" t="str">
        <x:v>Сделать крестик закрытия попапа круглым и ровным</x:v>
      </x:c>
      <x:c r="C26" s="40" t="str">
        <x:v>Покрыто / точечная приёмка</x:v>
      </x:c>
      <x:c r="D26" s="40" t="str">
        <x:v>Профили / #402 / #308</x:v>
      </x:c>
      <x:c r="E26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6" s="40" t="str">
        <x:v>https://github.com/anpavel84-afk/gobadminton-clean/pull/452</x:v>
      </x:c>
      <x:c r="G26" s="40" t="str">
        <x:v>https://github.com/anpavel84-afk/gobadminton/blob/main/docs/product/backlog/registry.json</x:v>
      </x:c>
    </x:row>
    <x:row r="27" ht="66" customHeight="1">
      <x:c r="A27" s="40" t="str">
        <x:v>GB-022</x:v>
      </x:c>
      <x:c r="B27" s="40" t="str">
        <x:v>Просматривать публичный профиль другого игрока</x:v>
      </x:c>
      <x:c r="C27" s="40" t="str">
        <x:v>Покрыто / точечная приёмка</x:v>
      </x:c>
      <x:c r="D27" s="40" t="str">
        <x:v>Профили / #402 / #308</x:v>
      </x:c>
      <x:c r="E27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7" s="40" t="str">
        <x:v>https://github.com/anpavel84-afk/gobadminton-clean/pull/452</x:v>
      </x:c>
      <x:c r="G27" s="40" t="str">
        <x:v>https://github.com/anpavel84-afk/gobadminton/blob/main/docs/product/backlog/registry.json</x:v>
      </x:c>
    </x:row>
    <x:row r="28" ht="66" customHeight="1">
      <x:c r="A28" s="40" t="str">
        <x:v>GB-023</x:v>
      </x:c>
      <x:c r="B28" s="40" t="str">
        <x:v>Оставить одну понятную кнопку «Написать» или «К переписке» в профиле</x:v>
      </x:c>
      <x:c r="C28" s="40" t="str">
        <x:v>Покрыто / точечная приёмка</x:v>
      </x:c>
      <x:c r="D28" s="40" t="str">
        <x:v>Профили / #402 / #308</x:v>
      </x:c>
      <x:c r="E28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8" s="40" t="str">
        <x:v>https://github.com/anpavel84-afk/gobadminton-clean/pull/452</x:v>
      </x:c>
      <x:c r="G28" s="40" t="str">
        <x:v>https://github.com/anpavel84-afk/gobadminton/blob/main/docs/product/backlog/registry.json</x:v>
      </x:c>
    </x:row>
    <x:row r="29" ht="66" customHeight="1">
      <x:c r="A29" s="40" t="str">
        <x:v>GB-024</x:v>
      </x:c>
      <x:c r="B29" s="40" t="str">
        <x:v>Добавить заметный переключатель «Я тренер» в профиле</x:v>
      </x:c>
      <x:c r="C29" s="40" t="str">
        <x:v>Покрыто / точечная приёмка</x:v>
      </x:c>
      <x:c r="D29" s="40" t="str">
        <x:v>Профили / #402 / #308</x:v>
      </x:c>
      <x:c r="E29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29" s="40" t="str">
        <x:v>https://github.com/anpavel84-afk/gobadminton-clean/pull/452</x:v>
      </x:c>
      <x:c r="G29" s="40" t="str">
        <x:v>https://github.com/anpavel84-afk/gobadminton/blob/main/docs/product/backlog/registry.json</x:v>
      </x:c>
    </x:row>
    <x:row r="30" ht="66" customHeight="1">
      <x:c r="A30" s="40" t="str">
        <x:v>GB-025</x:v>
      </x:c>
      <x:c r="B30" s="40" t="str">
        <x:v>Показывать предстоящие игры игрока в его профиле</x:v>
      </x:c>
      <x:c r="C30" s="40" t="str">
        <x:v>Покрыто / точечная приёмка</x:v>
      </x:c>
      <x:c r="D30" s="40" t="str">
        <x:v>Профили / #402 / #308</x:v>
      </x:c>
      <x:c r="E30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30" s="40" t="str">
        <x:v>https://github.com/anpavel84-afk/gobadminton-clean/pull/452</x:v>
      </x:c>
      <x:c r="G30" s="40" t="str">
        <x:v>https://github.com/anpavel84-afk/gobadminton/blob/main/docs/product/backlog/registry.json</x:v>
      </x:c>
    </x:row>
    <x:row r="31" ht="66" customHeight="1">
      <x:c r="A31" s="40" t="str">
        <x:v>GB-026</x:v>
      </x:c>
      <x:c r="B31" s="40" t="str">
        <x:v>Показывать обложку площадки и отдельную обложку игры</x:v>
      </x:c>
      <x:c r="C31" s="40" t="str">
        <x:v>Покрыто / точечная приёмка</x:v>
      </x:c>
      <x:c r="D31" s="40" t="str">
        <x:v>Профили / #402 / #308</x:v>
      </x:c>
      <x:c r="E31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31" s="40" t="str">
        <x:v>https://github.com/anpavel84-afk/gobadminton-clean/pull/452</x:v>
      </x:c>
      <x:c r="G31" s="40" t="str">
        <x:v>https://github.com/anpavel84-afk/gobadminton/blob/main/docs/product/backlog/registry.json</x:v>
      </x:c>
    </x:row>
    <x:row r="32" ht="66" customHeight="1">
      <x:c r="A32" s="40" t="str">
        <x:v>GB-027</x:v>
      </x:c>
      <x:c r="B32" s="40" t="str">
        <x:v>Редактировать уровень, описание, район и статус «Ищу игру»</x:v>
      </x:c>
      <x:c r="C32" s="40" t="str">
        <x:v>Покрыто / точечная приёмка</x:v>
      </x:c>
      <x:c r="D32" s="40" t="str">
        <x:v>Профили / #402 / #308</x:v>
      </x:c>
      <x:c r="E32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32" s="40" t="str">
        <x:v>https://github.com/anpavel84-afk/gobadminton-clean/pull/452</x:v>
      </x:c>
      <x:c r="G32" s="40" t="str">
        <x:v>https://github.com/anpavel84-afk/gobadminton/blob/main/docs/product/backlog/registry.json</x:v>
      </x:c>
    </x:row>
    <x:row r="33" ht="66" customHeight="1">
      <x:c r="A33" s="40" t="str">
        <x:v>GB-028</x:v>
      </x:c>
      <x:c r="B33" s="40" t="str">
        <x:v>Убирать приватные данные после истечения сессии</x:v>
      </x:c>
      <x:c r="C33" s="40" t="str">
        <x:v>Покрыто / точечная приёмка</x:v>
      </x:c>
      <x:c r="D33" s="40" t="str">
        <x:v>Профили / #402 / #308</x:v>
      </x:c>
      <x:c r="E33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33" s="40" t="str">
        <x:v>https://github.com/anpavel84-afk/gobadminton-clean/pull/452</x:v>
      </x:c>
      <x:c r="G33" s="40" t="str">
        <x:v>https://github.com/anpavel84-afk/gobadminton/blob/main/docs/product/backlog/registry.json</x:v>
      </x:c>
    </x:row>
    <x:row r="34" ht="66" customHeight="1">
      <x:c r="A34" s="40" t="str">
        <x:v>GB-029</x:v>
      </x:c>
      <x:c r="B34" s="40" t="str">
        <x:v>Отправлять и получать личные сообщения</x:v>
      </x:c>
      <x:c r="C34" s="40" t="str">
        <x:v>Покрыто / точечная приёмка</x:v>
      </x:c>
      <x:c r="D34" s="40" t="str">
        <x:v>Сообщения / #445 (только валидный остаток)</x:v>
      </x:c>
      <x:c r="E34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34" s="40" t="str">
        <x:v>https://github.com/anpavel84-afk/gobadminton-clean/pull/423</x:v>
      </x:c>
      <x:c r="G34" s="40" t="str">
        <x:v>https://github.com/anpavel84-afk/gobadminton/blob/main/docs/product/backlog/registry.json</x:v>
      </x:c>
    </x:row>
    <x:row r="35" ht="66" customHeight="1">
      <x:c r="A35" s="40" t="str">
        <x:v>GB-030</x:v>
      </x:c>
      <x:c r="B35" s="40" t="str">
        <x:v>Обновлять чат автоматически, без кнопки «Обновить»</x:v>
      </x:c>
      <x:c r="C35" s="40" t="str">
        <x:v>Покрыто / точечная приёмка</x:v>
      </x:c>
      <x:c r="D35" s="40" t="str">
        <x:v>Сообщения / #445 (только валидный остаток)</x:v>
      </x:c>
      <x:c r="E35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35" s="40" t="str">
        <x:v>https://github.com/anpavel84-afk/gobadminton-clean/pull/423</x:v>
      </x:c>
      <x:c r="G35" s="40" t="str">
        <x:v>https://github.com/anpavel84-afk/gobadminton/blob/main/docs/product/backlog/registry.json</x:v>
      </x:c>
    </x:row>
    <x:row r="36" ht="66" customHeight="1">
      <x:c r="A36" s="40" t="str">
        <x:v>GB-031</x:v>
      </x:c>
      <x:c r="B36" s="40" t="str">
        <x:v>Возвращаться из профиля собеседника в тот же диалог</x:v>
      </x:c>
      <x:c r="C36" s="40" t="str">
        <x:v>Покрыто / точечная приёмка</x:v>
      </x:c>
      <x:c r="D36" s="40" t="str">
        <x:v>Сообщения / #445 (только валидный остаток)</x:v>
      </x:c>
      <x:c r="E36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36" s="40" t="str">
        <x:v>https://github.com/anpavel84-afk/gobadminton-clean/pull/423</x:v>
      </x:c>
      <x:c r="G36" s="40" t="str">
        <x:v>https://github.com/anpavel84-afk/gobadminton/blob/main/docs/product/backlog/registry.json</x:v>
      </x:c>
    </x:row>
    <x:row r="37" ht="66" customHeight="1">
      <x:c r="A37" s="40" t="str">
        <x:v>GB-032</x:v>
      </x:c>
      <x:c r="B37" s="40" t="str">
        <x:v>Открывать профиль по имени в шапке переписки</x:v>
      </x:c>
      <x:c r="C37" s="40" t="str">
        <x:v>Покрыто / точечная приёмка</x:v>
      </x:c>
      <x:c r="D37" s="40" t="str">
        <x:v>Сообщения / #445 (только валидный остаток)</x:v>
      </x:c>
      <x:c r="E37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37" s="40" t="str">
        <x:v>https://github.com/anpavel84-afk/gobadminton-clean/pull/423</x:v>
      </x:c>
      <x:c r="G37" s="40" t="str">
        <x:v>https://github.com/anpavel84-afk/gobadminton/blob/main/docs/product/backlog/registry.json</x:v>
      </x:c>
    </x:row>
    <x:row r="38" ht="66" customHeight="1">
      <x:c r="A38" s="40" t="str">
        <x:v>GB-033</x:v>
      </x:c>
      <x:c r="B38" s="40" t="str">
        <x:v>Убрать нижнюю кнопку «Профиль» в меню переписки</x:v>
      </x:c>
      <x:c r="C38" s="40" t="str">
        <x:v>Покрыто / точечная приёмка</x:v>
      </x:c>
      <x:c r="D38" s="40" t="str">
        <x:v>Сообщения / #445 (только валидный остаток)</x:v>
      </x:c>
      <x:c r="E38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38" s="40" t="str">
        <x:v>https://github.com/anpavel84-afk/gobadminton-clean/pull/423</x:v>
      </x:c>
      <x:c r="G38" s="40" t="str">
        <x:v>https://github.com/anpavel84-afk/gobadminton/blob/main/docs/product/backlog/registry.json</x:v>
      </x:c>
    </x:row>
    <x:row r="39" ht="66" customHeight="1">
      <x:c r="A39" s="40" t="str">
        <x:v>GB-034</x:v>
      </x:c>
      <x:c r="B39" s="40" t="str">
        <x:v>Разрешать запросы на общение новым аккаунтам по умолчанию</x:v>
      </x:c>
      <x:c r="C39" s="40" t="str">
        <x:v>Переопределено</x:v>
      </x:c>
      <x:c r="D39" s="40" t="str">
        <x:v>PR423 + #448</x:v>
      </x:c>
      <x:c r="E39" s="40" t="str">
        <x:v>Первое сообщение больше не требует отдельного одобрения; ON defaults сохраняют настоящий opt-out. Старую request-логику не возвращать.</x:v>
      </x:c>
      <x:c r="F39" s="40" t="str">
        <x:v>https://github.com/anpavel84-afk/gobadminton-clean/pull/423</x:v>
      </x:c>
      <x:c r="G39" s="40" t="str">
        <x:v>https://github.com/anpavel84-afk/gobadminton/blob/main/docs/product/backlog/registry.json</x:v>
      </x:c>
    </x:row>
    <x:row r="40" ht="66" customHeight="1">
      <x:c r="A40" s="40" t="str">
        <x:v>GB-035</x:v>
      </x:c>
      <x:c r="B40" s="40" t="str">
        <x:v>Блокировать игрока и отправлять жалобу</x:v>
      </x:c>
      <x:c r="C40" s="40" t="str">
        <x:v>Покрыто / точечная приёмка</x:v>
      </x:c>
      <x:c r="D40" s="40" t="str">
        <x:v>Сообщения / #445 (только валидный остаток)</x:v>
      </x:c>
      <x:c r="E40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40" s="40" t="str">
        <x:v>https://github.com/anpavel84-afk/gobadminton-clean/pull/423</x:v>
      </x:c>
      <x:c r="G40" s="40" t="str">
        <x:v>https://github.com/anpavel84-afk/gobadminton/blob/main/docs/product/backlog/registry.json</x:v>
      </x:c>
    </x:row>
    <x:row r="41" ht="66" customHeight="1">
      <x:c r="A41" s="40" t="str">
        <x:v>GB-036</x:v>
      </x:c>
      <x:c r="B41" s="40" t="str">
        <x:v>Ограничить чат игры её участниками</x:v>
      </x:c>
      <x:c r="C41" s="40" t="str">
        <x:v>Покрыто / точечная приёмка</x:v>
      </x:c>
      <x:c r="D41" s="40" t="str">
        <x:v>Сообщения / #445 (только валидный остаток)</x:v>
      </x:c>
      <x:c r="E41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41" s="40" t="str">
        <x:v>https://github.com/anpavel84-afk/gobadminton-clean/pull/423</x:v>
      </x:c>
      <x:c r="G41" s="40" t="str">
        <x:v>https://github.com/anpavel84-afk/gobadminton/blob/main/docs/product/backlog/registry.json</x:v>
      </x:c>
    </x:row>
    <x:row r="42" ht="52" customHeight="1">
      <x:c r="A42" s="40" t="str">
        <x:v>GB-037</x:v>
      </x:c>
      <x:c r="B42" s="40" t="str">
        <x:v>Доставлять уведомления в установленном приложении</x:v>
      </x:c>
      <x:c r="C42" s="40" t="str">
        <x:v>Не реализовано; roadmap</x:v>
      </x:c>
      <x:c r="D42" s="40" t="str">
        <x:v>R01</x:v>
      </x:c>
      <x:c r="E42" s="40" t="str">
        <x:v>Речь о системном Web Push при закрытой PWA, не про существующий inbox/notification badge.</x:v>
      </x:c>
      <x:c r="F42" s="40" t="str">
        <x:v>https://github.com/anpavel84-afk/gobadminton-clean/pull/423</x:v>
      </x:c>
      <x:c r="G42" s="40" t="str">
        <x:v>https://github.com/anpavel84-afk/gobadminton/blob/main/docs/product/backlog/registry.json</x:v>
      </x:c>
    </x:row>
    <x:row r="43" ht="52" customHeight="1">
      <x:c r="A43" s="40" t="str">
        <x:v>GB-038</x:v>
      </x:c>
      <x:c r="B43" s="40" t="str">
        <x:v>Не отправлять личные сообщения в модерацию публичного контента</x:v>
      </x:c>
      <x:c r="C43" s="40" t="str">
        <x:v>Принятое ограничение</x:v>
      </x:c>
      <x:c r="D43" s="40" t="str">
        <x:v>Постоянный канон</x:v>
      </x:c>
      <x:c r="E43" s="40" t="str">
        <x:v>Не отправлять личные сообщения на модерацию публичного контента. Это правило, не повторная задача.</x:v>
      </x:c>
      <x:c r="F43" s="40" t="str">
        <x:v>https://github.com/anpavel84-afk/gobadminton-clean/pull/423</x:v>
      </x:c>
      <x:c r="G43" s="40" t="str">
        <x:v>https://github.com/anpavel84-afk/gobadminton/blob/main/docs/product/backlog/registry.json</x:v>
      </x:c>
    </x:row>
    <x:row r="44" ht="66" customHeight="1">
      <x:c r="A44" s="40" t="str">
        <x:v>GB-039</x:v>
      </x:c>
      <x:c r="B44" s="40" t="str">
        <x:v>Перенести компактный индикатор Radar в верхнюю панель</x:v>
      </x:c>
      <x:c r="C44" s="40" t="str">
        <x:v>Покрыто / точечная приёмка</x:v>
      </x:c>
      <x:c r="D44" s="40" t="str">
        <x:v>Radar / #398 / #445</x:v>
      </x:c>
      <x:c r="E44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44" s="40" t="str">
        <x:v>https://github.com/anpavel84-afk/gobadminton-clean/pull/412</x:v>
      </x:c>
      <x:c r="G44" s="40" t="str">
        <x:v>https://github.com/anpavel84-afk/gobadminton/blob/main/docs/product/backlog/registry.json</x:v>
      </x:c>
    </x:row>
    <x:row r="45" ht="66" customHeight="1">
      <x:c r="A45" s="40" t="str">
        <x:v>GB-040</x:v>
      </x:c>
      <x:c r="B45" s="40" t="str">
        <x:v>Убрать большую плавающую плашку «Radar включён»</x:v>
      </x:c>
      <x:c r="C45" s="40" t="str">
        <x:v>Покрыто / точечная приёмка</x:v>
      </x:c>
      <x:c r="D45" s="40" t="str">
        <x:v>Radar / #398 / #445</x:v>
      </x:c>
      <x:c r="E45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45" s="40" t="str">
        <x:v>https://github.com/anpavel84-afk/gobadminton-clean/pull/412</x:v>
      </x:c>
      <x:c r="G45" s="40" t="str">
        <x:v>https://github.com/anpavel84-afk/gobadminton/blob/main/docs/product/backlog/registry.json</x:v>
      </x:c>
    </x:row>
    <x:row r="46" ht="66" customHeight="1">
      <x:c r="A46" s="40" t="str">
        <x:v>GB-041</x:v>
      </x:c>
      <x:c r="B46" s="40" t="str">
        <x:v>Сделать доступной кнопку включения Radar</x:v>
      </x:c>
      <x:c r="C46" s="40" t="str">
        <x:v>Покрыто / точечная приёмка</x:v>
      </x:c>
      <x:c r="D46" s="40" t="str">
        <x:v>Radar / #398 / #445</x:v>
      </x:c>
      <x:c r="E46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46" s="40" t="str">
        <x:v>https://github.com/anpavel84-afk/gobadminton-clean/pull/412</x:v>
      </x:c>
      <x:c r="G46" s="40" t="str">
        <x:v>https://github.com/anpavel84-afk/gobadminton/blob/main/docs/product/backlog/registry.json</x:v>
      </x:c>
    </x:row>
    <x:row r="47" ht="66" customHeight="1">
      <x:c r="A47" s="40" t="str">
        <x:v>GB-042</x:v>
      </x:c>
      <x:c r="B47" s="40" t="str">
        <x:v>Использовать реальную геопозицию только после согласия</x:v>
      </x:c>
      <x:c r="C47" s="40" t="str">
        <x:v>Покрыто / точечная приёмка</x:v>
      </x:c>
      <x:c r="D47" s="40" t="str">
        <x:v>Radar / #398 / #445</x:v>
      </x:c>
      <x:c r="E47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47" s="40" t="str">
        <x:v>https://github.com/anpavel84-afk/gobadminton-clean/pull/412</x:v>
      </x:c>
      <x:c r="G47" s="40" t="str">
        <x:v>https://github.com/anpavel84-afk/gobadminton/blob/main/docs/product/backlog/registry.json</x:v>
      </x:c>
    </x:row>
    <x:row r="48" ht="66" customHeight="1">
      <x:c r="A48" s="40" t="str">
        <x:v>GB-043</x:v>
      </x:c>
      <x:c r="B48" s="40" t="str">
        <x:v>Показывать реальных игроков на карте Radar</x:v>
      </x:c>
      <x:c r="C48" s="40" t="str">
        <x:v>Покрыто / точечная приёмка</x:v>
      </x:c>
      <x:c r="D48" s="40" t="str">
        <x:v>Radar / #398 / #445</x:v>
      </x:c>
      <x:c r="E48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48" s="40" t="str">
        <x:v>https://github.com/anpavel84-afk/gobadminton-clean/pull/412</x:v>
      </x:c>
      <x:c r="G48" s="40" t="str">
        <x:v>https://github.com/anpavel84-afk/gobadminton/blob/main/docs/product/backlog/registry.json</x:v>
      </x:c>
    </x:row>
    <x:row r="49" ht="52" customHeight="1">
      <x:c r="A49" s="40" t="str">
        <x:v>GB-044</x:v>
      </x:c>
      <x:c r="B49" s="40" t="str">
        <x:v>Обеспечить работу карты Москвы и Санкт-Петербурга</x:v>
      </x:c>
      <x:c r="C49" s="40" t="str">
        <x:v>Частично; roadmap</x:v>
      </x:c>
      <x:c r="D49" s="40" t="str">
        <x:v>R03</x:v>
      </x:c>
      <x:c r="E49" s="40" t="str">
        <x:v>Карта Москвы есть. Полноценная карта Санкт-Петербурга не следует из наличия города/19 площадок.</x:v>
      </x:c>
      <x:c r="F49" s="40" t="str">
        <x:v>https://github.com/anpavel84-afk/gobadminton-clean/pull/412</x:v>
      </x:c>
      <x:c r="G49" s="40" t="str">
        <x:v>https://github.com/anpavel84-afk/gobadminton/blob/main/docs/product/backlog/registry.json</x:v>
      </x:c>
    </x:row>
    <x:row r="50" ht="66" customHeight="1">
      <x:c r="A50" s="40" t="str">
        <x:v>GB-045</x:v>
      </x:c>
      <x:c r="B50" s="40" t="str">
        <x:v>Объединить список игроков и поиск рядом</x:v>
      </x:c>
      <x:c r="C50" s="40" t="str">
        <x:v>Покрыто / точечная приёмка</x:v>
      </x:c>
      <x:c r="D50" s="40" t="str">
        <x:v>Radar / #398 / #445</x:v>
      </x:c>
      <x:c r="E50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50" s="40" t="str">
        <x:v>https://github.com/anpavel84-afk/gobadminton-clean/pull/412</x:v>
      </x:c>
      <x:c r="G50" s="40" t="str">
        <x:v>https://github.com/anpavel84-afk/gobadminton/blob/main/docs/product/backlog/registry.json</x:v>
      </x:c>
    </x:row>
    <x:row r="51" ht="66" customHeight="1">
      <x:c r="A51" s="40" t="str">
        <x:v>GB-046</x:v>
      </x:c>
      <x:c r="B51" s="40" t="str">
        <x:v>Сделать понятными включение, паузу и выключение Radar</x:v>
      </x:c>
      <x:c r="C51" s="40" t="str">
        <x:v>Покрыто / точечная приёмка</x:v>
      </x:c>
      <x:c r="D51" s="40" t="str">
        <x:v>Radar / #398 / #445</x:v>
      </x:c>
      <x:c r="E51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51" s="40" t="str">
        <x:v>https://github.com/anpavel84-afk/gobadminton-clean/pull/412</x:v>
      </x:c>
      <x:c r="G51" s="40" t="str">
        <x:v>https://github.com/anpavel84-afk/gobadminton/blob/main/docs/product/backlog/registry.json</x:v>
      </x:c>
    </x:row>
    <x:row r="52" ht="52" customHeight="1">
      <x:c r="A52" s="40" t="str">
        <x:v>GB-047</x:v>
      </x:c>
      <x:c r="B52" s="40" t="str">
        <x:v>Не давать друзьям доступ к геолокации без согласия</x:v>
      </x:c>
      <x:c r="C52" s="40" t="str">
        <x:v>Принятое ограничение</x:v>
      </x:c>
      <x:c r="D52" s="40" t="str">
        <x:v>Постоянный канон</x:v>
      </x:c>
      <x:c r="E52" s="40" t="str">
        <x:v>Дружба не даёт доступ к координатам без географического согласия.</x:v>
      </x:c>
      <x:c r="F52" s="40" t="str">
        <x:v>https://github.com/anpavel84-afk/gobadminton-clean/pull/412</x:v>
      </x:c>
      <x:c r="G52" s="40" t="str">
        <x:v>https://github.com/anpavel84-afk/gobadminton/blob/main/docs/product/backlog/registry.json</x:v>
      </x:c>
    </x:row>
    <x:row r="53" ht="66" customHeight="1">
      <x:c r="A53" s="40" t="str">
        <x:v>GB-048</x:v>
      </x:c>
      <x:c r="B53" s="40" t="str">
        <x:v>Отправлять взаимные заявки в друзья</x:v>
      </x:c>
      <x:c r="C53" s="40" t="str">
        <x:v>Покрыто / точечная приёмка</x:v>
      </x:c>
      <x:c r="D53" s="40" t="str">
        <x:v>Friends / #182 / #448</x:v>
      </x:c>
      <x:c r="E53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53" s="40" t="str">
        <x:v>https://github.com/anpavel84-afk/gobadminton-clean/pull/449</x:v>
      </x:c>
      <x:c r="G53" s="40" t="str">
        <x:v>https://github.com/anpavel84-afk/gobadminton/blob/main/docs/product/backlog/registry.json</x:v>
      </x:c>
    </x:row>
    <x:row r="54" ht="66" customHeight="1">
      <x:c r="A54" s="40" t="str">
        <x:v>GB-049</x:v>
      </x:c>
      <x:c r="B54" s="40" t="str">
        <x:v>Принимать, отклонять заявки и удалять друзей</x:v>
      </x:c>
      <x:c r="C54" s="40" t="str">
        <x:v>Покрыто / точечная приёмка</x:v>
      </x:c>
      <x:c r="D54" s="40" t="str">
        <x:v>Friends / #182 / #448</x:v>
      </x:c>
      <x:c r="E54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54" s="40" t="str">
        <x:v>https://github.com/anpavel84-afk/gobadminton-clean/pull/449</x:v>
      </x:c>
      <x:c r="G54" s="40" t="str">
        <x:v>https://github.com/anpavel84-afk/gobadminton/blob/main/docs/product/backlog/registry.json</x:v>
      </x:c>
    </x:row>
    <x:row r="55" ht="66" customHeight="1">
      <x:c r="A55" s="40" t="str">
        <x:v>GB-050</x:v>
      </x:c>
      <x:c r="B55" s="40" t="str">
        <x:v>Показывать список друзей с поиском</x:v>
      </x:c>
      <x:c r="C55" s="40" t="str">
        <x:v>Покрыто / точечная приёмка</x:v>
      </x:c>
      <x:c r="D55" s="40" t="str">
        <x:v>Friends / #182 / #448</x:v>
      </x:c>
      <x:c r="E55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55" s="40" t="str">
        <x:v>https://github.com/anpavel84-afk/gobadminton-clean/pull/449</x:v>
      </x:c>
      <x:c r="G55" s="40" t="str">
        <x:v>https://github.com/anpavel84-afk/gobadminton/blob/main/docs/product/backlog/registry.json</x:v>
      </x:c>
    </x:row>
    <x:row r="56" ht="66" customHeight="1">
      <x:c r="A56" s="40" t="str">
        <x:v>GB-051</x:v>
      </x:c>
      <x:c r="B56" s="40" t="str">
        <x:v>Предлагать другу игру без автоматического занятия места</x:v>
      </x:c>
      <x:c r="C56" s="40" t="str">
        <x:v>Покрыто / точечная приёмка</x:v>
      </x:c>
      <x:c r="D56" s="40" t="str">
        <x:v>Friends / #182 / #448</x:v>
      </x:c>
      <x:c r="E56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56" s="40" t="str">
        <x:v>https://github.com/anpavel84-afk/gobadminton-clean/pull/449</x:v>
      </x:c>
      <x:c r="G56" s="40" t="str">
        <x:v>https://github.com/anpavel84-afk/gobadminton/blob/main/docs/product/backlog/registry.json</x:v>
      </x:c>
    </x:row>
    <x:row r="57" ht="66" customHeight="1">
      <x:c r="A57" s="40" t="str">
        <x:v>GB-052</x:v>
      </x:c>
      <x:c r="B57" s="40" t="str">
        <x:v>Показывать блок «Требуют внимания» в «Моих играх»</x:v>
      </x:c>
      <x:c r="C57" s="40" t="str">
        <x:v>Покрыто / точечная приёмка</x:v>
      </x:c>
      <x:c r="D57" s="40" t="str">
        <x:v>Friends / #182 / #448</x:v>
      </x:c>
      <x:c r="E57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57" s="40" t="str">
        <x:v>https://github.com/anpavel84-afk/gobadminton-clean/pull/449</x:v>
      </x:c>
      <x:c r="G57" s="40" t="str">
        <x:v>https://github.com/anpavel84-afk/gobadminton/blob/main/docs/product/backlog/registry.json</x:v>
      </x:c>
    </x:row>
    <x:row r="58" ht="52" customHeight="1">
      <x:c r="A58" s="40" t="str">
        <x:v>GB-053</x:v>
      </x:c>
      <x:c r="B58" s="40" t="str">
        <x:v>Уведомлять о заявках в друзья и предложениях игр</x:v>
      </x:c>
      <x:c r="C58" s="40" t="str">
        <x:v>Разделить</x:v>
      </x:c>
      <x:c r="D58" s="40" t="str">
        <x:v>In-app проверка / R01 Push</x:v>
      </x:c>
      <x:c r="E58" s="40" t="str">
        <x:v>Не путать текущие уведомления/inbox и ещё не реализованный системный Push.</x:v>
      </x:c>
      <x:c r="F58" s="40" t="str">
        <x:v>https://github.com/anpavel84-afk/gobadminton-clean/pull/449</x:v>
      </x:c>
      <x:c r="G58" s="40" t="str">
        <x:v>https://github.com/anpavel84-afk/gobadminton/blob/main/docs/product/backlog/registry.json</x:v>
      </x:c>
    </x:row>
    <x:row r="59" ht="52" customHeight="1">
      <x:c r="A59" s="40" t="str">
        <x:v>GB-054</x:v>
      </x:c>
      <x:c r="B59" s="40" t="str">
        <x:v>Рассмотреть подписки и социальную ленту после MVP</x:v>
      </x:c>
      <x:c r="C59" s="40" t="str">
        <x:v>Холодный roadmap / решение</x:v>
      </x:c>
      <x:c r="D59" s="40" t="str">
        <x:v>P02 / R04</x:v>
      </x:c>
      <x:c r="E59" s="40" t="str">
        <x:v>Будущее или needs_triage. Не является ближайшим Owner-approved implementation; не запускать автоматически.</x:v>
      </x:c>
      <x:c r="F59" s="40" t="str">
        <x:v>https://github.com/anpavel84-afk/gobadminton-clean/blob/dev/docs/product/SCOPE.md</x:v>
      </x:c>
      <x:c r="G59" s="40" t="str">
        <x:v>https://github.com/anpavel84-afk/gobadminton/blob/main/docs/product/backlog/registry.json</x:v>
      </x:c>
    </x:row>
    <x:row r="60" ht="52" customHeight="1">
      <x:c r="A60" s="40" t="str">
        <x:v>GB-055</x:v>
      </x:c>
      <x:c r="B60" s="40" t="str">
        <x:v>Сохранить приватность друзей при удалении профиля и параллельных запросах</x:v>
      </x:c>
      <x:c r="C60" s="40" t="str">
        <x:v>Регрессия, не новая функция</x:v>
      </x:c>
      <x:c r="D60" s="40" t="str">
        <x:v>A08</x:v>
      </x:c>
      <x:c r="E60" s="40" t="str">
        <x:v>Сохранить negative tests удаления/блокировок/гонок; код Friends не повторять.</x:v>
      </x:c>
      <x:c r="F60" s="40" t="str">
        <x:v>https://github.com/anpavel84-afk/gobadminton-clean/pull/449</x:v>
      </x:c>
      <x:c r="G60" s="40" t="str">
        <x:v>https://github.com/anpavel84-afk/gobadminton/blob/main/docs/product/backlog/registry.json</x:v>
      </x:c>
    </x:row>
    <x:row r="61" ht="52" customHeight="1">
      <x:c r="A61" s="40" t="str">
        <x:v>GB-056</x:v>
      </x:c>
      <x:c r="B61" s="40" t="str">
        <x:v>Проверить каталог площадок в создании игры</x:v>
      </x:c>
      <x:c r="C61" s="40" t="str">
        <x:v>Дубликат / архив</x:v>
      </x:c>
      <x:c r="D61" s="40" t="str">
        <x:v>#422</x:v>
      </x:c>
      <x:c r="E61" s="40" t="str">
        <x:v>Исходный GB-056 уже duplicate; новый каталог не строить.</x:v>
      </x:c>
      <x:c r="F61" s="40" t="str">
        <x:v>https://github.com/anpavel84-afk/gobadminton-clean/issues/422</x:v>
      </x:c>
      <x:c r="G61" s="40" t="str">
        <x:v>https://github.com/anpavel84-afk/gobadminton/blob/main/docs/product/backlog/registry.json</x:v>
      </x:c>
    </x:row>
    <x:row r="62" ht="52" customHeight="1">
      <x:c r="A62" s="40" t="str">
        <x:v>GB-057</x:v>
      </x:c>
      <x:c r="B62" s="40" t="str">
        <x:v>Оставить два региона: Москва с областью и Санкт-Петербург с областью</x:v>
      </x:c>
      <x:c r="C62" s="40" t="str">
        <x:v>Частично / roadmap</x:v>
      </x:c>
      <x:c r="D62" s="40" t="str">
        <x:v>R03</x:v>
      </x:c>
      <x:c r="E62" s="40" t="str">
        <x:v>Два города каталога не доказывают две готовые карты. Не перемещать региональные записи вслепую.</x:v>
      </x:c>
      <x:c r="F62" s="40" t="str">
        <x:v>https://github.com/anpavel84-afk/gobadminton-clean/issues/422</x:v>
      </x:c>
      <x:c r="G62" s="40" t="str">
        <x:v>https://github.com/anpavel84-afk/gobadminton/blob/main/docs/product/backlog/registry.json</x:v>
      </x:c>
    </x:row>
    <x:row r="63" ht="52" customHeight="1">
      <x:c r="A63" s="40" t="str">
        <x:v>GB-058</x:v>
      </x:c>
      <x:c r="B63" s="40" t="str">
        <x:v>Сверить импорт всех найденных площадок с источниками</x:v>
      </x:c>
      <x:c r="C63" s="40" t="str">
        <x:v>Реальный контент-остаток</x:v>
      </x:c>
      <x:c r="D63" s="40" t="str">
        <x:v>A04 / #422</x:v>
      </x:c>
      <x:c r="E63" s="40" t="str">
        <x:v>Сопоставление 106 исходных строк и 99 реальных площадок, актуальные факты/источники.</x:v>
      </x:c>
      <x:c r="F63" s="40" t="str">
        <x:v>https://github.com/anpavel84-afk/gobadminton-clean/issues/422</x:v>
      </x:c>
      <x:c r="G63" s="40" t="str">
        <x:v>https://github.com/anpavel84-afk/gobadminton/blob/main/docs/product/backlog/registry.json</x:v>
      </x:c>
    </x:row>
    <x:row r="64" ht="52" customHeight="1">
      <x:c r="A64" s="40" t="str">
        <x:v>GB-059</x:v>
      </x:c>
      <x:c r="B64" s="40" t="str">
        <x:v>Не терять площадки без отдельного названия</x:v>
      </x:c>
      <x:c r="C64" s="40" t="str">
        <x:v>Реальный контент-остаток</x:v>
      </x:c>
      <x:c r="D64" s="40" t="str">
        <x:v>A04 / #422</x:v>
      </x:c>
      <x:c r="E64" s="40" t="str">
        <x:v>Не выдумывать имя по адресу; сохранить UUID и неопределённость, уточнить источник.</x:v>
      </x:c>
      <x:c r="F64" s="40" t="str">
        <x:v>https://github.com/anpavel84-afk/gobadminton-clean/issues/422</x:v>
      </x:c>
      <x:c r="G64" s="40" t="str">
        <x:v>https://github.com/anpavel84-afk/gobadminton/blob/main/docs/product/backlog/registry.json</x:v>
      </x:c>
    </x:row>
    <x:row r="65" ht="52" customHeight="1">
      <x:c r="A65" s="40" t="str">
        <x:v>GB-060</x:v>
      </x:c>
      <x:c r="B65" s="40" t="str">
        <x:v>Проверить адреса и координаты импортированных площадок</x:v>
      </x:c>
      <x:c r="C65" s="40" t="str">
        <x:v>Реальный контент-остаток</x:v>
      </x:c>
      <x:c r="D65" s="40" t="str">
        <x:v>A04 / #422</x:v>
      </x:c>
      <x:c r="E65" s="40" t="str">
        <x:v>Проверка адресов/координат — контентная работа, не повторный импорт всего каталога.</x:v>
      </x:c>
      <x:c r="F65" s="40" t="str">
        <x:v>https://github.com/anpavel84-afk/gobadminton-clean/issues/422</x:v>
      </x:c>
      <x:c r="G65" s="40" t="str">
        <x:v>https://github.com/anpavel84-afk/gobadminton/blob/main/docs/product/backlog/registry.json</x:v>
      </x:c>
    </x:row>
    <x:row r="66" ht="52" customHeight="1">
      <x:c r="A66" s="40" t="str">
        <x:v>GB-061</x:v>
      </x:c>
      <x:c r="B66" s="40" t="str">
        <x:v>Убрать тестовые площадки из рабочего каталога</x:v>
      </x:c>
      <x:c r="C66" s="40" t="str">
        <x:v>Проверить политику DEMO</x:v>
      </x:c>
      <x:c r="D66" s="40" t="str">
        <x:v>A04 / A08</x:v>
      </x:c>
      <x:c r="E66" s="40" t="str">
        <x:v>В DEV 6 Demo-площадок. Не удалять связанные данные автоматически; отдельно проверить нужный публичный/PROD scope.</x:v>
      </x:c>
      <x:c r="F66" s="40" t="str">
        <x:v>https://github.com/anpavel84-afk/gobadminton-clean/issues/422</x:v>
      </x:c>
      <x:c r="G66" s="40" t="str">
        <x:v>https://github.com/anpavel84-afk/gobadminton/blob/main/docs/product/backlog/registry.json</x:v>
      </x:c>
    </x:row>
    <x:row r="67" ht="52" customHeight="1">
      <x:c r="A67" s="40" t="str">
        <x:v>GB-062</x:v>
      </x:c>
      <x:c r="B67" s="40" t="str">
        <x:v>Перенести тестовые игры на настоящие площадки</x:v>
      </x:c>
      <x:c r="C67" s="40" t="str">
        <x:v>Проверить; не переносить массово</x:v>
      </x:c>
      <x:c r="D67" s="40" t="str">
        <x:v>A04 / A08</x:v>
      </x:c>
      <x:c r="E67" s="40" t="str">
        <x:v>Тестовые игры нельзя вслепую привязывать к реальным залам. Сначала актуальное назначение фикстур/связи.</x:v>
      </x:c>
      <x:c r="F67" s="40" t="str">
        <x:v>https://github.com/anpavel84-afk/gobadminton-clean/issues/422</x:v>
      </x:c>
      <x:c r="G67" s="40" t="str">
        <x:v>https://github.com/anpavel84-afk/gobadminton/blob/main/docs/product/backlog/registry.json</x:v>
      </x:c>
    </x:row>
    <x:row r="68" ht="66" customHeight="1">
      <x:c r="A68" s="40" t="str">
        <x:v>GB-063</x:v>
      </x:c>
      <x:c r="B68" s="40" t="str">
        <x:v>Объединять дубли площадок в админке</x:v>
      </x:c>
      <x:c r="C68" s="40" t="str">
        <x:v>Покрыто / точечная приёмка</x:v>
      </x:c>
      <x:c r="D68" s="40" t="str">
        <x:v>#422 / текущий Admin</x:v>
      </x:c>
      <x:c r="E68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68" s="40" t="str">
        <x:v>https://github.com/anpavel84-afk/gobadminton-clean/issues/422</x:v>
      </x:c>
      <x:c r="G68" s="40" t="str">
        <x:v>https://github.com/anpavel84-afk/gobadminton/blob/main/docs/product/backlog/registry.json</x:v>
      </x:c>
    </x:row>
    <x:row r="69" ht="66" customHeight="1">
      <x:c r="A69" s="40" t="str">
        <x:v>GB-064</x:v>
      </x:c>
      <x:c r="B69" s="40" t="str">
        <x:v>Входить через VK и Яндекс</x:v>
      </x:c>
      <x:c r="C69" s="40" t="str">
        <x:v>Покрыто / точечная приёмка</x:v>
      </x:c>
      <x:c r="D69" s="40" t="str">
        <x:v>Auth / #442</x:v>
      </x:c>
      <x:c r="E69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69" s="40" t="str">
        <x:v>https://github.com/anpavel84-afk/gobadminton-clean/issues/442</x:v>
      </x:c>
      <x:c r="G69" s="40" t="str">
        <x:v>https://github.com/anpavel84-afk/gobadminton/blob/main/docs/product/backlog/registry.json</x:v>
      </x:c>
    </x:row>
    <x:row r="70" ht="66" customHeight="1">
      <x:c r="A70" s="40" t="str">
        <x:v>GB-065</x:v>
      </x:c>
      <x:c r="B70" s="40" t="str">
        <x:v>Устанавливать GoBadminton на экран iPhone</x:v>
      </x:c>
      <x:c r="C70" s="40" t="str">
        <x:v>Покрыто / точечная приёмка</x:v>
      </x:c>
      <x:c r="D70" s="40" t="str">
        <x:v>Auth / #442</x:v>
      </x:c>
      <x:c r="E70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70" s="40" t="str">
        <x:v>https://github.com/anpavel84-afk/gobadminton-clean/issues/442</x:v>
      </x:c>
      <x:c r="G70" s="40" t="str">
        <x:v>https://github.com/anpavel84-afk/gobadminton/blob/main/docs/product/backlog/registry.json</x:v>
      </x:c>
    </x:row>
    <x:row r="71" ht="52" customHeight="1">
      <x:c r="A71" s="40" t="str">
        <x:v>GB-066</x:v>
      </x:c>
      <x:c r="B71" s="40" t="str">
        <x:v>Входить и регистрироваться по одноразовому коду из письма</x:v>
      </x:c>
      <x:c r="C71" s="40" t="str">
        <x:v>Реализовано DEV / остаток rollout</x:v>
      </x:c>
      <x:c r="D71" s="40" t="str">
        <x:v>A07 / #442</x:v>
      </x:c>
      <x:c r="E71" s="40" t="str">
        <x:v>Реальный email-код доставлялся, вход пройден; полный recovery/link UAT и PROD отдельно.</x:v>
      </x:c>
      <x:c r="F71" s="40" t="str">
        <x:v>https://github.com/anpavel84-afk/gobadminton-clean/issues/442</x:v>
      </x:c>
      <x:c r="G71" s="40" t="str">
        <x:v>https://github.com/anpavel84-afk/gobadminton/blob/main/docs/product/backlog/registry.json</x:v>
      </x:c>
    </x:row>
    <x:row r="72" ht="52" customHeight="1">
      <x:c r="A72" s="40" t="str">
        <x:v>GB-067</x:v>
      </x:c>
      <x:c r="B72" s="40" t="str">
        <x:v>Подключить настоящую отправку писем регистрации</x:v>
      </x:c>
      <x:c r="C72" s="40" t="str">
        <x:v>Реализовано DEV / не повторять</x:v>
      </x:c>
      <x:c r="D72" s="40" t="str">
        <x:v>A07 / #442</x:v>
      </x:c>
      <x:c r="E72" s="40" t="str">
        <x:v>SMTP-adapter, секрет и worker уже установлены. Старый блокер «нет пароля/fake-only» устарел.</x:v>
      </x:c>
      <x:c r="F72" s="40" t="str">
        <x:v>https://github.com/anpavel84-afk/gobadminton-clean/issues/442</x:v>
      </x:c>
      <x:c r="G72" s="40" t="str">
        <x:v>https://github.com/anpavel84-afk/gobadminton/blob/main/docs/product/backlog/registry.json</x:v>
      </x:c>
    </x:row>
    <x:row r="73" ht="52" customHeight="1">
      <x:c r="A73" s="40" t="str">
        <x:v>GB-068</x:v>
      </x:c>
      <x:c r="B73" s="40" t="str">
        <x:v>Безопасно связывать email с VK и Яндексом</x:v>
      </x:c>
      <x:c r="C73" s="40" t="str">
        <x:v>Приёмка действующего flow</x:v>
      </x:c>
      <x:c r="D73" s="40" t="str">
        <x:v>A07 / #442</x:v>
      </x:c>
      <x:c r="E73" s="40" t="str">
        <x:v>Проверить связывание/смену email и OAuth без повторной реализации auth.</x:v>
      </x:c>
      <x:c r="F73" s="40" t="str">
        <x:v>https://github.com/anpavel84-afk/gobadminton-clean/issues/442</x:v>
      </x:c>
      <x:c r="G73" s="40" t="str">
        <x:v>https://github.com/anpavel84-afk/gobadminton/blob/main/docs/product/backlog/registry.json</x:v>
      </x:c>
    </x:row>
    <x:row r="74" ht="66" customHeight="1">
      <x:c r="A74" s="40" t="str">
        <x:v>GB-069</x:v>
      </x:c>
      <x:c r="B74" s="40" t="str">
        <x:v>Сохранять безопасность входа, выхода и сессий</x:v>
      </x:c>
      <x:c r="C74" s="40" t="str">
        <x:v>Покрыто / точечная приёмка</x:v>
      </x:c>
      <x:c r="D74" s="40" t="str">
        <x:v>Auth / #442</x:v>
      </x:c>
      <x:c r="E74" s="40" t="str">
        <x:v>Возможность/UX уже покрыта нынешним продуктом и поздними поставками; исходную старую карточку не запускать. Не означает пройденный live E2E каждого варианта.</x:v>
      </x:c>
      <x:c r="F74" s="40" t="str">
        <x:v>https://github.com/anpavel84-afk/gobadminton-clean/issues/442</x:v>
      </x:c>
      <x:c r="G74" s="40" t="str">
        <x:v>https://github.com/anpavel84-afk/gobadminton/blob/main/docs/product/backlog/registry.json</x:v>
      </x:c>
    </x:row>
    <x:row r="75" ht="66" customHeight="1">
      <x:c r="A75" s="40" t="str">
        <x:v>GB-070</x:v>
      </x:c>
      <x:c r="B75" s="40" t="str">
        <x:v>Разделить роли администраторов и журналировать действия</x:v>
      </x:c>
      <x:c r="C75" s="40" t="str">
        <x:v>Покрыто частично / приёмка</x:v>
      </x:c>
      <x:c r="D75" s="40" t="str">
        <x:v>Существующий Admin/Safety; R05</x:v>
      </x:c>
      <x:c r="E75" s="40" t="str">
        <x:v>Права, аудит, модерация и случаи существуют. Проверить необходимые разрешённые роли/операционный путь; не создавать Admin заново и не включать его глобально на PROD.</x:v>
      </x:c>
      <x:c r="F75" s="40" t="str">
        <x:v>https://github.com/anpavel84-afk/gobadminton-clean/pull/441</x:v>
      </x:c>
      <x:c r="G75" s="40" t="str">
        <x:v>https://github.com/anpavel84-afk/gobadminton/blob/main/docs/product/backlog/registry.json</x:v>
      </x:c>
    </x:row>
    <x:row r="76" ht="66" customHeight="1">
      <x:c r="A76" s="40" t="str">
        <x:v>GB-071</x:v>
      </x:c>
      <x:c r="B76" s="40" t="str">
        <x:v>Модерировать игры через внутреннюю админку</x:v>
      </x:c>
      <x:c r="C76" s="40" t="str">
        <x:v>Покрыто частично / приёмка</x:v>
      </x:c>
      <x:c r="D76" s="40" t="str">
        <x:v>Существующий Admin/Safety; R05</x:v>
      </x:c>
      <x:c r="E76" s="40" t="str">
        <x:v>Права, аудит, модерация и случаи существуют. Проверить необходимые разрешённые роли/операционный путь; не создавать Admin заново и не включать его глобально на PROD.</x:v>
      </x:c>
      <x:c r="F76" s="40" t="str">
        <x:v>https://github.com/anpavel84-afk/gobadminton-clean/pull/441</x:v>
      </x:c>
      <x:c r="G76" s="40" t="str">
        <x:v>https://github.com/anpavel84-afk/gobadminton/blob/main/docs/product/backlog/registry.json</x:v>
      </x:c>
    </x:row>
    <x:row r="77" ht="66" customHeight="1">
      <x:c r="A77" s="40" t="str">
        <x:v>GB-072</x:v>
      </x:c>
      <x:c r="B77" s="40" t="str">
        <x:v>Ограничивать нарушителей с учётом прав администратора</x:v>
      </x:c>
      <x:c r="C77" s="40" t="str">
        <x:v>Покрыто частично / приёмка</x:v>
      </x:c>
      <x:c r="D77" s="40" t="str">
        <x:v>Существующий Admin/Safety; R05</x:v>
      </x:c>
      <x:c r="E77" s="40" t="str">
        <x:v>Права, аудит, модерация и случаи существуют. Проверить необходимые разрешённые роли/операционный путь; не создавать Admin заново и не включать его глобально на PROD.</x:v>
      </x:c>
      <x:c r="F77" s="40" t="str">
        <x:v>https://github.com/anpavel84-afk/gobadminton-clean/pull/441</x:v>
      </x:c>
      <x:c r="G77" s="40" t="str">
        <x:v>https://github.com/anpavel84-afk/gobadminton/blob/main/docs/product/backlog/registry.json</x:v>
      </x:c>
    </x:row>
    <x:row r="78" ht="66" customHeight="1">
      <x:c r="A78" s="40" t="str">
        <x:v>GB-073</x:v>
      </x:c>
      <x:c r="B78" s="40" t="str">
        <x:v>Обрабатывать обращения и доказательства в поддержке</x:v>
      </x:c>
      <x:c r="C78" s="40" t="str">
        <x:v>Покрыто частично / приёмка</x:v>
      </x:c>
      <x:c r="D78" s="40" t="str">
        <x:v>Существующий Admin/Safety; R05</x:v>
      </x:c>
      <x:c r="E78" s="40" t="str">
        <x:v>Права, аудит, модерация и случаи существуют. Проверить необходимые разрешённые роли/операционный путь; не создавать Admin заново и не включать его глобально на PROD.</x:v>
      </x:c>
      <x:c r="F78" s="40" t="str">
        <x:v>https://github.com/anpavel84-afk/gobadminton-clean/pull/441</x:v>
      </x:c>
      <x:c r="G78" s="40" t="str">
        <x:v>https://github.com/anpavel84-afk/gobadminton/blob/main/docs/product/backlog/registry.json</x:v>
      </x:c>
    </x:row>
    <x:row r="79" ht="66" customHeight="1">
      <x:c r="A79" s="40" t="str">
        <x:v>GB-074</x:v>
      </x:c>
      <x:c r="B79" s="40" t="str">
        <x:v>Проверять публичные тексты и фотографии перед публикацией</x:v>
      </x:c>
      <x:c r="C79" s="40" t="str">
        <x:v>Покрыто частично / приёмка</x:v>
      </x:c>
      <x:c r="D79" s="40" t="str">
        <x:v>Существующий Admin/Safety; R05</x:v>
      </x:c>
      <x:c r="E79" s="40" t="str">
        <x:v>Права, аудит, модерация и случаи существуют. Проверить необходимые разрешённые роли/операционный путь; не создавать Admin заново и не включать его глобально на PROD.</x:v>
      </x:c>
      <x:c r="F79" s="40" t="str">
        <x:v>https://github.com/anpavel84-afk/gobadminton-clean/pull/441</x:v>
      </x:c>
      <x:c r="G79" s="40" t="str">
        <x:v>https://github.com/anpavel84-afk/gobadminton/blob/main/docs/product/backlog/registry.json</x:v>
      </x:c>
    </x:row>
    <x:row r="80" ht="66" customHeight="1">
      <x:c r="A80" s="40" t="str">
        <x:v>GB-075</x:v>
      </x:c>
      <x:c r="B80" s="40" t="str">
        <x:v>Подготовить рабочую внутреннюю панель администратора</x:v>
      </x:c>
      <x:c r="C80" s="40" t="str">
        <x:v>Покрыто частично / приёмка</x:v>
      </x:c>
      <x:c r="D80" s="40" t="str">
        <x:v>Существующий Admin/Safety; R05</x:v>
      </x:c>
      <x:c r="E80" s="40" t="str">
        <x:v>Права, аудит, модерация и случаи существуют. Проверить необходимые разрешённые роли/операционный путь; не создавать Admin заново и не включать его глобально на PROD.</x:v>
      </x:c>
      <x:c r="F80" s="40" t="str">
        <x:v>https://github.com/anpavel84-afk/gobadminton-clean/pull/441</x:v>
      </x:c>
      <x:c r="G80" s="40" t="str">
        <x:v>https://github.com/anpavel84-afk/gobadminton/blob/main/docs/product/backlog/registry.json</x:v>
      </x:c>
    </x:row>
    <x:row r="81" ht="66" customHeight="1">
      <x:c r="A81" s="40" t="str">
        <x:v>GB-076</x:v>
      </x:c>
      <x:c r="B81" s="40" t="str">
        <x:v>Доставить принятые изменения P1–P4 на действующий тестовый сайт</x:v>
      </x:c>
      <x:c r="C81" s="40" t="str">
        <x:v>Историческая OPS / парковка</x:v>
      </x:c>
      <x:c r="D81" s="40" t="str">
        <x:v>P01 или архив</x:v>
      </x:c>
      <x:c r="E81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81" s="40" t="str">
        <x:v>https://github.com/anpavel84-afk/gobadminton-clean/issues/29</x:v>
      </x:c>
      <x:c r="G81" s="40" t="str">
        <x:v>https://github.com/anpavel84-afk/gobadminton/blob/main/docs/product/backlog/registry.json</x:v>
      </x:c>
    </x:row>
    <x:row r="82" ht="66" customHeight="1">
      <x:c r="A82" s="40" t="str">
        <x:v>GB-077</x:v>
      </x:c>
      <x:c r="B82" s="40" t="str">
        <x:v>Закрепить исправление Docker-сборки Web в основном коде</x:v>
      </x:c>
      <x:c r="C82" s="40" t="str">
        <x:v>Историческая OPS / парковка</x:v>
      </x:c>
      <x:c r="D82" s="40" t="str">
        <x:v>P01 или архив</x:v>
      </x:c>
      <x:c r="E82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82" s="40" t="str">
        <x:v>https://github.com/anpavel84-afk/gobadminton-clean/issues/29</x:v>
      </x:c>
      <x:c r="G82" s="40" t="str">
        <x:v>https://github.com/anpavel84-afk/gobadminton/blob/main/docs/product/backlog/registry.json</x:v>
      </x:c>
    </x:row>
    <x:row r="83" ht="66" customHeight="1">
      <x:c r="A83" s="40" t="str">
        <x:v>GB-078</x:v>
      </x:c>
      <x:c r="B83" s="40" t="str">
        <x:v>Сохранить проверяемый отчёт о реальном релизе в GitHub</x:v>
      </x:c>
      <x:c r="C83" s="40" t="str">
        <x:v>Историческая OPS / парковка</x:v>
      </x:c>
      <x:c r="D83" s="40" t="str">
        <x:v>P01 или архив</x:v>
      </x:c>
      <x:c r="E83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83" s="40" t="str">
        <x:v>https://github.com/anpavel84-afk/gobadminton-clean/issues/29</x:v>
      </x:c>
      <x:c r="G83" s="40" t="str">
        <x:v>https://github.com/anpavel84-afk/gobadminton/blob/main/docs/product/backlog/registry.json</x:v>
      </x:c>
    </x:row>
    <x:row r="84" ht="52" customHeight="1">
      <x:c r="A84" s="40" t="str">
        <x:v>GB-079</x:v>
      </x:c>
      <x:c r="B84" s="40" t="str">
        <x:v>Показывать в мониторе, что опубликовано, а не только объединено в коде</x:v>
      </x:c>
      <x:c r="C84" s="40" t="str">
        <x:v>Объединить / учёт</x:v>
      </x:c>
      <x:c r="D84" s="40" t="str">
        <x:v>A10 / #175; #434</x:v>
      </x:c>
      <x:c r="E84" s="40" t="str">
        <x:v>История релизов существует. Исправить актуальность карточек, не строить новый монитор.</x:v>
      </x:c>
      <x:c r="F84" s="40" t="str">
        <x:v>https://github.com/anpavel84-afk/gobadminton-clean/issues/29</x:v>
      </x:c>
      <x:c r="G84" s="40" t="str">
        <x:v>https://github.com/anpavel84-afk/gobadminton/blob/main/docs/product/backlog/registry.json</x:v>
      </x:c>
    </x:row>
    <x:row r="85" ht="66" customHeight="1">
      <x:c r="A85" s="40" t="str">
        <x:v>GB-080</x:v>
      </x:c>
      <x:c r="B85" s="40" t="str">
        <x:v>Исправить падающие проверки проекта в GitHub</x:v>
      </x:c>
      <x:c r="C85" s="40" t="str">
        <x:v>Историческая OPS / парковка</x:v>
      </x:c>
      <x:c r="D85" s="40" t="str">
        <x:v>P01 или архив</x:v>
      </x:c>
      <x:c r="E85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85" s="40" t="str">
        <x:v>https://github.com/anpavel84-afk/gobadminton-clean/issues/29</x:v>
      </x:c>
      <x:c r="G85" s="40" t="str">
        <x:v>https://github.com/anpavel84-afk/gobadminton/blob/main/docs/product/backlog/registry.json</x:v>
      </x:c>
    </x:row>
    <x:row r="86" ht="66" customHeight="1">
      <x:c r="A86" s="40" t="str">
        <x:v>GB-081</x:v>
      </x:c>
      <x:c r="B86" s="40" t="str">
        <x:v>Показывать принятое визуальное изменение после каждого небольшого выпуска</x:v>
      </x:c>
      <x:c r="C86" s="40" t="str">
        <x:v>Историческая OPS / парковка</x:v>
      </x:c>
      <x:c r="D86" s="40" t="str">
        <x:v>P01 или архив</x:v>
      </x:c>
      <x:c r="E86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86" s="40" t="str">
        <x:v>https://github.com/anpavel84-afk/gobadminton-clean/issues/29</x:v>
      </x:c>
      <x:c r="G86" s="40" t="str">
        <x:v>https://github.com/anpavel84-afk/gobadminton/blob/main/docs/product/backlog/registry.json</x:v>
      </x:c>
    </x:row>
    <x:row r="87" ht="66" customHeight="1">
      <x:c r="A87" s="40" t="str">
        <x:v>GB-082</x:v>
      </x:c>
      <x:c r="B87" s="40" t="str">
        <x:v>Подготовить dev.gobadminton.ru по отдельному согласованному решению</x:v>
      </x:c>
      <x:c r="C87" s="40" t="str">
        <x:v>Историческая OPS / парковка</x:v>
      </x:c>
      <x:c r="D87" s="40" t="str">
        <x:v>P01 или архив</x:v>
      </x:c>
      <x:c r="E87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87" s="40" t="str">
        <x:v>https://github.com/anpavel84-afk/gobadminton-clean/issues/29</x:v>
      </x:c>
      <x:c r="G87" s="40" t="str">
        <x:v>https://github.com/anpavel84-afk/gobadminton/blob/main/docs/product/backlog/registry.json</x:v>
      </x:c>
    </x:row>
    <x:row r="88" ht="66" customHeight="1">
      <x:c r="A88" s="40" t="str">
        <x:v>GB-083</x:v>
      </x:c>
      <x:c r="B88" s="40" t="str">
        <x:v>Не использовать одну базу данных для DEV и будущего PROD</x:v>
      </x:c>
      <x:c r="C88" s="40" t="str">
        <x:v>Историческая OPS / парковка</x:v>
      </x:c>
      <x:c r="D88" s="40" t="str">
        <x:v>P01 или архив</x:v>
      </x:c>
      <x:c r="E88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88" s="40" t="str">
        <x:v>https://github.com/anpavel84-afk/gobadminton-clean/issues/29</x:v>
      </x:c>
      <x:c r="G88" s="40" t="str">
        <x:v>https://github.com/anpavel84-afk/gobadminton/blob/main/docs/product/backlog/registry.json</x:v>
      </x:c>
    </x:row>
    <x:row r="89" ht="66" customHeight="1">
      <x:c r="A89" s="40" t="str">
        <x:v>GB-084</x:v>
      </x:c>
      <x:c r="B89" s="40" t="str">
        <x:v>Продвигать в PROD ровно проверенный образ</x:v>
      </x:c>
      <x:c r="C89" s="40" t="str">
        <x:v>Историческая OPS / парковка</x:v>
      </x:c>
      <x:c r="D89" s="40" t="str">
        <x:v>P01 или архив</x:v>
      </x:c>
      <x:c r="E89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89" s="40" t="str">
        <x:v>https://github.com/anpavel84-afk/gobadminton-clean/issues/29</x:v>
      </x:c>
      <x:c r="G89" s="40" t="str">
        <x:v>https://github.com/anpavel84-afk/gobadminton/blob/main/docs/product/backlog/registry.json</x:v>
      </x:c>
    </x:row>
    <x:row r="90" ht="66" customHeight="1">
      <x:c r="A90" s="40" t="str">
        <x:v>GB-085</x:v>
      </x:c>
      <x:c r="B90" s="40" t="str">
        <x:v>Завершить проверку совместимого выпуска и отката P6</x:v>
      </x:c>
      <x:c r="C90" s="40" t="str">
        <x:v>Историческая OPS / парковка</x:v>
      </x:c>
      <x:c r="D90" s="40" t="str">
        <x:v>P01 или архив</x:v>
      </x:c>
      <x:c r="E90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90" s="40" t="str">
        <x:v>https://github.com/anpavel84-afk/gobadminton-clean/issues/29</x:v>
      </x:c>
      <x:c r="G90" s="40" t="str">
        <x:v>https://github.com/anpavel84-afk/gobadminton/blob/main/docs/product/backlog/registry.json</x:v>
      </x:c>
    </x:row>
    <x:row r="91" ht="52" customHeight="1">
      <x:c r="A91" s="40" t="str">
        <x:v>GB-086</x:v>
      </x:c>
      <x:c r="B91" s="40" t="str">
        <x:v>Держать четыре независимых слота выполнения без ложного простоя</x:v>
      </x:c>
      <x:c r="C91" s="40" t="str">
        <x:v>Заменено организационной моделью</x:v>
      </x:c>
      <x:c r="D91" s="40" t="str">
        <x:v>Архив OPS</x:v>
      </x:c>
      <x:c r="E91" s="40" t="str">
        <x:v>Требование 4 независимых writer-слотов конфликтует с нынешним one source writer. Не активировать его из старого реестра.</x:v>
      </x:c>
      <x:c r="F91" s="40" t="str">
        <x:v>https://github.com/anpavel84-afk/gobadminton-clean/issues/29</x:v>
      </x:c>
      <x:c r="G91" s="40" t="str">
        <x:v>https://github.com/anpavel84-afk/gobadminton/blob/main/docs/product/backlog/registry.json</x:v>
      </x:c>
    </x:row>
    <x:row r="92" ht="66" customHeight="1">
      <x:c r="A92" s="40" t="str">
        <x:v>GB-087</x:v>
      </x:c>
      <x:c r="B92" s="40" t="str">
        <x:v>Продолжать работу автоматически после результата QA</x:v>
      </x:c>
      <x:c r="C92" s="40" t="str">
        <x:v>Историческая OPS / парковка</x:v>
      </x:c>
      <x:c r="D92" s="40" t="str">
        <x:v>P01 или архив</x:v>
      </x:c>
      <x:c r="E92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92" s="40" t="str">
        <x:v>https://github.com/anpavel84-afk/gobadminton-clean/issues/29</x:v>
      </x:c>
      <x:c r="G92" s="40" t="str">
        <x:v>https://github.com/anpavel84-afk/gobadminton/blob/main/docs/product/backlog/registry.json</x:v>
      </x:c>
    </x:row>
    <x:row r="93" ht="66" customHeight="1">
      <x:c r="A93" s="40" t="str">
        <x:v>GB-088</x:v>
      </x:c>
      <x:c r="B93" s="40" t="str">
        <x:v>Показывать понятные русские названия и реальные этапы работы</x:v>
      </x:c>
      <x:c r="C93" s="40" t="str">
        <x:v>Историческая OPS / парковка</x:v>
      </x:c>
      <x:c r="D93" s="40" t="str">
        <x:v>P01 или архив</x:v>
      </x:c>
      <x:c r="E93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93" s="40" t="str">
        <x:v>https://github.com/anpavel84-afk/gobadminton-clean/issues/29</x:v>
      </x:c>
      <x:c r="G93" s="40" t="str">
        <x:v>https://github.com/anpavel84-afk/gobadminton/blob/main/docs/product/backlog/registry.json</x:v>
      </x:c>
    </x:row>
    <x:row r="94" ht="52" customHeight="1">
      <x:c r="A94" s="40" t="str">
        <x:v>GB-089</x:v>
      </x:c>
      <x:c r="B94" s="40" t="str">
        <x:v>Проверить теневой режим нового диспетчера V3</x:v>
      </x:c>
      <x:c r="C94" s="40" t="str">
        <x:v>Устарело / архив</x:v>
      </x:c>
      <x:c r="D94" s="40" t="str">
        <x:v>Архив OPS</x:v>
      </x:c>
      <x:c r="E94" s="40" t="str">
        <x:v>Старый теневой диспетчер V3 не целевая текущая система.</x:v>
      </x:c>
      <x:c r="F94" s="40" t="str">
        <x:v>https://github.com/anpavel84-afk/gobadminton-clean/issues/29</x:v>
      </x:c>
      <x:c r="G94" s="40" t="str">
        <x:v>https://github.com/anpavel84-afk/gobadminton/blob/main/docs/product/backlog/registry.json</x:v>
      </x:c>
    </x:row>
    <x:row r="95" ht="52" customHeight="1">
      <x:c r="A95" s="40" t="str">
        <x:v>GB-090</x:v>
      </x:c>
      <x:c r="B95" s="40" t="str">
        <x:v>Завершить проверку публикации результатов в V3</x:v>
      </x:c>
      <x:c r="C95" s="40" t="str">
        <x:v>Устарело / архив</x:v>
      </x:c>
      <x:c r="D95" s="40" t="str">
        <x:v>Архив OPS</x:v>
      </x:c>
      <x:c r="E95" s="40" t="str">
        <x:v>Старый цикл V3 не нужно квалифицировать заново ради продукта.</x:v>
      </x:c>
      <x:c r="F95" s="40" t="str">
        <x:v>https://github.com/anpavel84-afk/gobadminton-clean/issues/29</x:v>
      </x:c>
      <x:c r="G95" s="40" t="str">
        <x:v>https://github.com/anpavel84-afk/gobadminton/blob/main/docs/product/backlog/registry.json</x:v>
      </x:c>
    </x:row>
    <x:row r="96" ht="52" customHeight="1">
      <x:c r="A96" s="40" t="str">
        <x:v>GB-091</x:v>
      </x:c>
      <x:c r="B96" s="40" t="str">
        <x:v>Подготовить безопасный переход Runner v2 на диспетчер V3</x:v>
      </x:c>
      <x:c r="C96" s="40" t="str">
        <x:v>Устарело / архив</x:v>
      </x:c>
      <x:c r="D96" s="40" t="str">
        <x:v>Архив OPS</x:v>
      </x:c>
      <x:c r="E96" s="40" t="str">
        <x:v>Переход runner v2→V3 заменён CLEAN/Lean; не возвращать.</x:v>
      </x:c>
      <x:c r="F96" s="40" t="str">
        <x:v>https://github.com/anpavel84-afk/gobadminton-clean/issues/29</x:v>
      </x:c>
      <x:c r="G96" s="40" t="str">
        <x:v>https://github.com/anpavel84-afk/gobadminton/blob/main/docs/product/backlog/registry.json</x:v>
      </x:c>
    </x:row>
    <x:row r="97" ht="52" customHeight="1">
      <x:c r="A97" s="40" t="str">
        <x:v>GB-092</x:v>
      </x:c>
      <x:c r="B97" s="40" t="str">
        <x:v>Не возвращать отклонённый после пяти попыток старый контроллер</x:v>
      </x:c>
      <x:c r="C97" s="40" t="str">
        <x:v>Запрет повторного запуска</x:v>
      </x:c>
      <x:c r="D97" s="40" t="str">
        <x:v>История</x:v>
      </x:c>
      <x:c r="E97" s="40" t="str">
        <x:v>Сохранить запрет и данные отказов; не превращать старый запрет в новую работу.</x:v>
      </x:c>
      <x:c r="F97" s="40" t="str">
        <x:v>https://github.com/anpavel84-afk/gobadminton-clean/issues/29</x:v>
      </x:c>
      <x:c r="G97" s="40" t="str">
        <x:v>https://github.com/anpavel84-afk/gobadminton/blob/main/docs/product/backlog/registry.json</x:v>
      </x:c>
    </x:row>
    <x:row r="98" ht="52" customHeight="1">
      <x:c r="A98" s="40" t="str">
        <x:v>GB-093</x:v>
      </x:c>
      <x:c r="B98" s="40" t="str">
        <x:v>Сохранить и сопоставить все 17 замечаний Owner от 8 октября</x:v>
      </x:c>
      <x:c r="C98" s="40" t="str">
        <x:v>Объединить / учёт</x:v>
      </x:c>
      <x:c r="D98" s="40" t="str">
        <x:v>A10 / #175</x:v>
      </x:c>
      <x:c r="E98" s="40" t="str">
        <x:v>Сохранить связь 17 старых замечаний с актуальными поставками; не повторять их все.</x:v>
      </x:c>
      <x:c r="F98" s="40" t="str">
        <x:v>https://github.com/anpavel84-afk/gobadminton-clean/issues/29</x:v>
      </x:c>
      <x:c r="G98" s="40" t="str">
        <x:v>https://github.com/anpavel84-afk/gobadminton/blob/main/docs/product/backlog/registry.json</x:v>
      </x:c>
    </x:row>
    <x:row r="99" ht="52" customHeight="1">
      <x:c r="A99" s="40" t="str">
        <x:v>GB-094</x:v>
      </x:c>
      <x:c r="B99" s="40" t="str">
        <x:v>Не терять продуктовые требования при замене старых preview-задач</x:v>
      </x:c>
      <x:c r="C99" s="40" t="str">
        <x:v>Объединить / учёт</x:v>
      </x:c>
      <x:c r="D99" s="40" t="str">
        <x:v>A10 / #175</x:v>
      </x:c>
      <x:c r="E99" s="40" t="str">
        <x:v>Носитель требований/архив, не новый продуктовый релиз.</x:v>
      </x:c>
      <x:c r="F99" s="40" t="str">
        <x:v>https://github.com/anpavel84-afk/gobadminton-clean/issues/29</x:v>
      </x:c>
      <x:c r="G99" s="40" t="str">
        <x:v>https://github.com/anpavel84-afk/gobadminton/blob/main/docs/product/backlog/registry.json</x:v>
      </x:c>
    </x:row>
    <x:row r="100" ht="66" customHeight="1">
      <x:c r="A100" s="40" t="str">
        <x:v>GB-095</x:v>
      </x:c>
      <x:c r="B100" s="40" t="str">
        <x:v>Подготовить разрешения перед запуском реальных пользователей</x:v>
      </x:c>
      <x:c r="C100" s="40" t="str">
        <x:v>Проверка готовности запуска</x:v>
      </x:c>
      <x:c r="D100" s="40" t="str">
        <x:v>R05</x:v>
      </x:c>
      <x:c r="E100" s="40" t="str">
        <x:v>Проверить фактические решения и операционную/правовую приёмку. Наличие страниц и кода не заменяет её; не считать автоматически отсутствующей или нарушенной.</x:v>
      </x:c>
      <x:c r="F100" s="40" t="str">
        <x:v>https://github.com/anpavel84-afk/gobadminton-clean/blob/dev/docs/product/SCOPE.md</x:v>
      </x:c>
      <x:c r="G100" s="40" t="str">
        <x:v>https://github.com/anpavel84-afk/gobadminton/blob/main/docs/product/backlog/registry.json</x:v>
      </x:c>
    </x:row>
    <x:row r="101" ht="66" customHeight="1">
      <x:c r="A101" s="40" t="str">
        <x:v>GB-096</x:v>
      </x:c>
      <x:c r="B101" s="40" t="str">
        <x:v>Уточнить требования хранения персональных данных и регион базы</x:v>
      </x:c>
      <x:c r="C101" s="40" t="str">
        <x:v>Проверка готовности запуска</x:v>
      </x:c>
      <x:c r="D101" s="40" t="str">
        <x:v>R05</x:v>
      </x:c>
      <x:c r="E101" s="40" t="str">
        <x:v>Проверить фактические решения и операционную/правовую приёмку. Наличие страниц и кода не заменяет её; не считать автоматически отсутствующей или нарушенной.</x:v>
      </x:c>
      <x:c r="F101" s="40" t="str">
        <x:v>https://github.com/anpavel84-afk/gobadminton-clean/blob/dev/docs/product/SCOPE.md</x:v>
      </x:c>
      <x:c r="G101" s="40" t="str">
        <x:v>https://github.com/anpavel84-afk/gobadminton/blob/main/docs/product/backlog/registry.json</x:v>
      </x:c>
    </x:row>
    <x:row r="102" ht="66" customHeight="1">
      <x:c r="A102" s="40" t="str">
        <x:v>GB-097</x:v>
      </x:c>
      <x:c r="B102" s="40" t="str">
        <x:v>Проверить правовые требования к внутренним сообщениям</x:v>
      </x:c>
      <x:c r="C102" s="40" t="str">
        <x:v>Проверка готовности запуска</x:v>
      </x:c>
      <x:c r="D102" s="40" t="str">
        <x:v>R05</x:v>
      </x:c>
      <x:c r="E102" s="40" t="str">
        <x:v>Проверить фактические решения и операционную/правовую приёмку. Наличие страниц и кода не заменяет её; не считать автоматически отсутствующей или нарушенной.</x:v>
      </x:c>
      <x:c r="F102" s="40" t="str">
        <x:v>https://github.com/anpavel84-afk/gobadminton-clean/blob/dev/docs/product/SCOPE.md</x:v>
      </x:c>
      <x:c r="G102" s="40" t="str">
        <x:v>https://github.com/anpavel84-afk/gobadminton/blob/main/docs/product/backlog/registry.json</x:v>
      </x:c>
    </x:row>
    <x:row r="103" ht="66" customHeight="1">
      <x:c r="A103" s="40" t="str">
        <x:v>GB-098</x:v>
      </x:c>
      <x:c r="B103" s="40" t="str">
        <x:v>Определить правила детских аккаунтов, хранения и удаления данных</x:v>
      </x:c>
      <x:c r="C103" s="40" t="str">
        <x:v>Проверка готовности запуска</x:v>
      </x:c>
      <x:c r="D103" s="40" t="str">
        <x:v>R05</x:v>
      </x:c>
      <x:c r="E103" s="40" t="str">
        <x:v>Проверить фактические решения и операционную/правовую приёмку. Наличие страниц и кода не заменяет её; не считать автоматически отсутствующей или нарушенной.</x:v>
      </x:c>
      <x:c r="F103" s="40" t="str">
        <x:v>https://github.com/anpavel84-afk/gobadminton-clean/blob/dev/docs/product/SCOPE.md</x:v>
      </x:c>
      <x:c r="G103" s="40" t="str">
        <x:v>https://github.com/anpavel84-afk/gobadminton/blob/main/docs/product/backlog/registry.json</x:v>
      </x:c>
    </x:row>
    <x:row r="104" ht="52" customHeight="1">
      <x:c r="A104" s="40" t="str">
        <x:v>GB-099</x:v>
      </x:c>
      <x:c r="B104" s="40" t="str">
        <x:v>Опубликовать понятные страницы «О проекте», помощи и правовых документов</x:v>
      </x:c>
      <x:c r="C104" s="40" t="str">
        <x:v>Страницы есть / проверка текста</x:v>
      </x:c>
      <x:c r="D104" s="40" t="str">
        <x:v>R05</x:v>
      </x:c>
      <x:c r="E104" s="40" t="str">
        <x:v>/legal/privacy, /legal/terms, /legal/rules, /about, /help доступны. Проверять утверждённость, не создавать заново.</x:v>
      </x:c>
      <x:c r="F104" s="40" t="str">
        <x:v>https://github.com/anpavel84-afk/gobadminton-clean/blob/dev/docs/product/SCOPE.md</x:v>
      </x:c>
      <x:c r="G104" s="40" t="str">
        <x:v>https://github.com/anpavel84-afk/gobadminton/blob/main/docs/product/backlog/registry.json</x:v>
      </x:c>
    </x:row>
    <x:row r="105" ht="52" customHeight="1">
      <x:c r="A105" s="40" t="str">
        <x:v>GB-100</x:v>
      </x:c>
      <x:c r="B105" s="40" t="str">
        <x:v>Рассмотреть рейтинг и развитие шкалы уровня после MVP</x:v>
      </x:c>
      <x:c r="C105" s="40" t="str">
        <x:v>Холодный roadmap / решение</x:v>
      </x:c>
      <x:c r="D105" s="40" t="str">
        <x:v>P02 / R04</x:v>
      </x:c>
      <x:c r="E105" s="40" t="str">
        <x:v>Будущее или needs_triage. Не является ближайшим Owner-approved implementation; не запускать автоматически.</x:v>
      </x:c>
      <x:c r="F105" s="40" t="str">
        <x:v>https://github.com/anpavel84-afk/gobadminton-clean/blob/dev/docs/product/SCOPE.md</x:v>
      </x:c>
      <x:c r="G105" s="40" t="str">
        <x:v>https://github.com/anpavel84-afk/gobadminton/blob/main/docs/product/backlog/registry.json</x:v>
      </x:c>
    </x:row>
    <x:row r="106" ht="52" customHeight="1">
      <x:c r="A106" s="40" t="str">
        <x:v>GB-101</x:v>
      </x:c>
      <x:c r="B106" s="40" t="str">
        <x:v>Рассмотреть лист ожидания, посещаемость и турниры после MVP</x:v>
      </x:c>
      <x:c r="C106" s="40" t="str">
        <x:v>Разделить старый агрегат</x:v>
      </x:c>
      <x:c r="D106" s="40" t="str">
        <x:v>#372 + холодный roadmap</x:v>
      </x:c>
      <x:c r="E106" s="40" t="str">
        <x:v>Посещаемость уже актуальный Postgame. Waitlist/турниры остаются будущим; нельзя архивировать attendance вместе с ними.</x:v>
      </x:c>
      <x:c r="F106" s="40" t="str">
        <x:v>https://github.com/anpavel84-afk/gobadminton-clean/issues/394</x:v>
      </x:c>
      <x:c r="G106" s="40" t="str">
        <x:v>https://github.com/anpavel84-afk/gobadminton/blob/main/docs/product/backlog/registry.json</x:v>
      </x:c>
    </x:row>
    <x:row r="107" ht="52" customHeight="1">
      <x:c r="A107" s="40" t="str">
        <x:v>GB-102</x:v>
      </x:c>
      <x:c r="B107" s="40" t="str">
        <x:v>Рассмотреть бронирование кортов и оплату после MVP</x:v>
      </x:c>
      <x:c r="C107" s="40" t="str">
        <x:v>Холодный roadmap / решение</x:v>
      </x:c>
      <x:c r="D107" s="40" t="str">
        <x:v>P02 / R04</x:v>
      </x:c>
      <x:c r="E107" s="40" t="str">
        <x:v>Будущее или needs_triage. Не является ближайшим Owner-approved implementation; не запускать автоматически.</x:v>
      </x:c>
      <x:c r="F107" s="40" t="str">
        <x:v>https://github.com/anpavel84-afk/gobadminton-clean/blob/dev/docs/product/SCOPE.md</x:v>
      </x:c>
      <x:c r="G107" s="40" t="str">
        <x:v>https://github.com/anpavel84-afk/gobadminton/blob/main/docs/product/backlog/registry.json</x:v>
      </x:c>
    </x:row>
    <x:row r="108" ht="66" customHeight="1">
      <x:c r="A108" s="40" t="str">
        <x:v>GB-103</x:v>
      </x:c>
      <x:c r="B108" s="40" t="str">
        <x:v>Не показывать принудительный выбор города при первом входе</x:v>
      </x:c>
      <x:c r="C108" s="40" t="str">
        <x:v>Покрыто / точечная приёмка</x:v>
      </x:c>
      <x:c r="D108" s="40" t="str">
        <x:v>Нынешний UI/игры; остаток A06/A08</x:v>
      </x:c>
      <x:c r="E108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08" s="40" t="str">
        <x:v>https://github.com/anpavel84-afk/gobadminton-clean/issues/394</x:v>
      </x:c>
      <x:c r="G108" s="40" t="str">
        <x:v>https://github.com/anpavel84-afk/gobadminton/blob/main/docs/product/backlog/registry.json</x:v>
      </x:c>
    </x:row>
    <x:row r="109" ht="66" customHeight="1">
      <x:c r="A109" s="40" t="str">
        <x:v>GB-104</x:v>
      </x:c>
      <x:c r="B109" s="40" t="str">
        <x:v>Запоминать выбранный вручную город между посещениями</x:v>
      </x:c>
      <x:c r="C109" s="40" t="str">
        <x:v>Покрыто / точечная приёмка</x:v>
      </x:c>
      <x:c r="D109" s="40" t="str">
        <x:v>Нынешний UI/игры; остаток A06/A08</x:v>
      </x:c>
      <x:c r="E109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09" s="40" t="str">
        <x:v>https://github.com/anpavel84-afk/gobadminton-clean/issues/394</x:v>
      </x:c>
      <x:c r="G109" s="40" t="str">
        <x:v>https://github.com/anpavel84-afk/gobadminton/blob/main/docs/product/backlog/registry.json</x:v>
      </x:c>
    </x:row>
    <x:row r="110" ht="66" customHeight="1">
      <x:c r="A110" s="40" t="str">
        <x:v>GB-105</x:v>
      </x:c>
      <x:c r="B110" s="40" t="str">
        <x:v>Сделать ровными строки и разделители Москвы и Санкт-Петербурга</x:v>
      </x:c>
      <x:c r="C110" s="40" t="str">
        <x:v>Покрыто / точечная приёмка</x:v>
      </x:c>
      <x:c r="D110" s="40" t="str">
        <x:v>Нынешний UI/игры; остаток A06/A08</x:v>
      </x:c>
      <x:c r="E110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0" s="40" t="str">
        <x:v>https://github.com/anpavel84-afk/gobadminton-clean/issues/394</x:v>
      </x:c>
      <x:c r="G110" s="40" t="str">
        <x:v>https://github.com/anpavel84-afk/gobadminton/blob/main/docs/product/backlog/registry.json</x:v>
      </x:c>
    </x:row>
    <x:row r="111" ht="66" customHeight="1">
      <x:c r="A111" s="40" t="str">
        <x:v>GB-106</x:v>
      </x:c>
      <x:c r="B111" s="40" t="str">
        <x:v>Добавить отступ перед кнопкой «Оставить Москва»</x:v>
      </x:c>
      <x:c r="C111" s="40" t="str">
        <x:v>Покрыто / точечная приёмка</x:v>
      </x:c>
      <x:c r="D111" s="40" t="str">
        <x:v>Нынешний UI/игры; остаток A06/A08</x:v>
      </x:c>
      <x:c r="E111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1" s="40" t="str">
        <x:v>https://github.com/anpavel84-afk/gobadminton-clean/issues/394</x:v>
      </x:c>
      <x:c r="G111" s="40" t="str">
        <x:v>https://github.com/anpavel84-afk/gobadminton/blob/main/docs/product/backlog/registry.json</x:v>
      </x:c>
    </x:row>
    <x:row r="112" ht="66" customHeight="1">
      <x:c r="A112" s="40" t="str">
        <x:v>GB-107</x:v>
      </x:c>
      <x:c r="B112" s="40" t="str">
        <x:v>Выровнять страницу города по общему контейнеру на десктопе</x:v>
      </x:c>
      <x:c r="C112" s="40" t="str">
        <x:v>Покрыто / точечная приёмка</x:v>
      </x:c>
      <x:c r="D112" s="40" t="str">
        <x:v>Нынешний UI/игры; остаток A06/A08</x:v>
      </x:c>
      <x:c r="E112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2" s="40" t="str">
        <x:v>https://github.com/anpavel84-afk/gobadminton-clean/issues/394</x:v>
      </x:c>
      <x:c r="G112" s="40" t="str">
        <x:v>https://github.com/anpavel84-afk/gobadminton/blob/main/docs/product/backlog/registry.json</x:v>
      </x:c>
    </x:row>
    <x:row r="113" ht="66" customHeight="1">
      <x:c r="A113" s="40" t="str">
        <x:v>GB-108</x:v>
      </x:c>
      <x:c r="B113" s="40" t="str">
        <x:v>Выровнять видимый край логотипа по левому краю контента</x:v>
      </x:c>
      <x:c r="C113" s="40" t="str">
        <x:v>Покрыто / точечная приёмка</x:v>
      </x:c>
      <x:c r="D113" s="40" t="str">
        <x:v>Нынешний UI/игры; остаток A06/A08</x:v>
      </x:c>
      <x:c r="E113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3" s="40" t="str">
        <x:v>https://github.com/anpavel84-afk/gobadminton-clean/issues/394</x:v>
      </x:c>
      <x:c r="G113" s="40" t="str">
        <x:v>https://github.com/anpavel84-afk/gobadminton/blob/main/docs/product/backlog/registry.json</x:v>
      </x:c>
    </x:row>
    <x:row r="114" ht="66" customHeight="1">
      <x:c r="A114" s="40" t="str">
        <x:v>GB-109</x:v>
      </x:c>
      <x:c r="B114" s="40" t="str">
        <x:v>Убрать дублирующий пункт «Профиль» из верхнего меню</x:v>
      </x:c>
      <x:c r="C114" s="40" t="str">
        <x:v>Покрыто / точечная приёмка</x:v>
      </x:c>
      <x:c r="D114" s="40" t="str">
        <x:v>Нынешний UI/игры; остаток A06/A08</x:v>
      </x:c>
      <x:c r="E114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4" s="40" t="str">
        <x:v>https://github.com/anpavel84-afk/gobadminton-clean/issues/394</x:v>
      </x:c>
      <x:c r="G114" s="40" t="str">
        <x:v>https://github.com/anpavel84-afk/gobadminton/blob/main/docs/product/backlog/registry.json</x:v>
      </x:c>
    </x:row>
    <x:row r="115" ht="66" customHeight="1">
      <x:c r="A115" s="40" t="str">
        <x:v>GB-110</x:v>
      </x:c>
      <x:c r="B115" s="40" t="str">
        <x:v>Оставить удобный доступ к сообщениям в мобильном нижнем меню</x:v>
      </x:c>
      <x:c r="C115" s="40" t="str">
        <x:v>Покрыто / точечная приёмка</x:v>
      </x:c>
      <x:c r="D115" s="40" t="str">
        <x:v>Нынешний UI/игры; остаток A06/A08</x:v>
      </x:c>
      <x:c r="E115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5" s="40" t="str">
        <x:v>https://github.com/anpavel84-afk/gobadminton-clean/issues/394</x:v>
      </x:c>
      <x:c r="G115" s="40" t="str">
        <x:v>https://github.com/anpavel84-afk/gobadminton/blob/main/docs/product/backlog/registry.json</x:v>
      </x:c>
    </x:row>
    <x:row r="116" ht="66" customHeight="1">
      <x:c r="A116" s="40" t="str">
        <x:v>GB-111</x:v>
      </x:c>
      <x:c r="B116" s="40" t="str">
        <x:v>Устранить случайное увеличение форм на iPhone</x:v>
      </x:c>
      <x:c r="C116" s="40" t="str">
        <x:v>Покрыто / точечная приёмка</x:v>
      </x:c>
      <x:c r="D116" s="40" t="str">
        <x:v>Нынешний UI/игры; остаток A06/A08</x:v>
      </x:c>
      <x:c r="E116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6" s="40" t="str">
        <x:v>https://github.com/anpavel84-afk/gobadminton-clean/issues/394</x:v>
      </x:c>
      <x:c r="G116" s="40" t="str">
        <x:v>https://github.com/anpavel84-afk/gobadminton/blob/main/docs/product/backlog/registry.json</x:v>
      </x:c>
    </x:row>
    <x:row r="117" ht="66" customHeight="1">
      <x:c r="A117" s="40" t="str">
        <x:v>GB-112</x:v>
      </x:c>
      <x:c r="B117" s="40" t="str">
        <x:v>Показывать время игры в правильном часовом поясе</x:v>
      </x:c>
      <x:c r="C117" s="40" t="str">
        <x:v>Покрыто / точечная приёмка</x:v>
      </x:c>
      <x:c r="D117" s="40" t="str">
        <x:v>Нынешний UI/игры; остаток A06/A08</x:v>
      </x:c>
      <x:c r="E117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7" s="40" t="str">
        <x:v>https://github.com/anpavel84-afk/gobadminton-clean/issues/394</x:v>
      </x:c>
      <x:c r="G117" s="40" t="str">
        <x:v>https://github.com/anpavel84-afk/gobadminton/blob/main/docs/product/backlog/registry.json</x:v>
      </x:c>
    </x:row>
    <x:row r="118" ht="66" customHeight="1">
      <x:c r="A118" s="40" t="str">
        <x:v>GB-113</x:v>
      </x:c>
      <x:c r="B118" s="40" t="str">
        <x:v>Показывать ближайшие игры, а не только игры сегодня</x:v>
      </x:c>
      <x:c r="C118" s="40" t="str">
        <x:v>Покрыто / точечная приёмка</x:v>
      </x:c>
      <x:c r="D118" s="40" t="str">
        <x:v>Нынешний UI/игры; остаток A06/A08</x:v>
      </x:c>
      <x:c r="E118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8" s="40" t="str">
        <x:v>https://github.com/anpavel84-afk/gobadminton-clean/issues/394</x:v>
      </x:c>
      <x:c r="G118" s="40" t="str">
        <x:v>https://github.com/anpavel84-afk/gobadminton/blob/main/docs/product/backlog/registry.json</x:v>
      </x:c>
    </x:row>
    <x:row r="119" ht="66" customHeight="1">
      <x:c r="A119" s="40" t="str">
        <x:v>GB-114</x:v>
      </x:c>
      <x:c r="B119" s="40" t="str">
        <x:v>Упростить название игры при создании</x:v>
      </x:c>
      <x:c r="C119" s="40" t="str">
        <x:v>Покрыто / точечная приёмка</x:v>
      </x:c>
      <x:c r="D119" s="40" t="str">
        <x:v>Нынешний UI/игры; остаток A06/A08</x:v>
      </x:c>
      <x:c r="E119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19" s="40" t="str">
        <x:v>https://github.com/anpavel84-afk/gobadminton-clean/issues/394</x:v>
      </x:c>
      <x:c r="G119" s="40" t="str">
        <x:v>https://github.com/anpavel84-afk/gobadminton/blob/main/docs/product/backlog/registry.json</x:v>
      </x:c>
    </x:row>
    <x:row r="120" ht="66" customHeight="1">
      <x:c r="A120" s="40" t="str">
        <x:v>GB-115</x:v>
      </x:c>
      <x:c r="B120" s="40" t="str">
        <x:v>Подставлять согласованное количество мест по умолчанию</x:v>
      </x:c>
      <x:c r="C120" s="40" t="str">
        <x:v>Покрыто / точечная приёмка</x:v>
      </x:c>
      <x:c r="D120" s="40" t="str">
        <x:v>Нынешний UI/игры; остаток A06/A08</x:v>
      </x:c>
      <x:c r="E120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20" s="40" t="str">
        <x:v>https://github.com/anpavel84-afk/gobadminton-clean/issues/394</x:v>
      </x:c>
      <x:c r="G120" s="40" t="str">
        <x:v>https://github.com/anpavel84-afk/gobadminton/blob/main/docs/product/backlog/registry.json</x:v>
      </x:c>
    </x:row>
    <x:row r="121" ht="66" customHeight="1">
      <x:c r="A121" s="40" t="str">
        <x:v>GB-116</x:v>
      </x:c>
      <x:c r="B121" s="40" t="str">
        <x:v>Удобно задавать дату, время и продолжительность игры</x:v>
      </x:c>
      <x:c r="C121" s="40" t="str">
        <x:v>Покрыто / точечная приёмка</x:v>
      </x:c>
      <x:c r="D121" s="40" t="str">
        <x:v>Нынешний UI/игры; остаток A06/A08</x:v>
      </x:c>
      <x:c r="E121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21" s="40" t="str">
        <x:v>https://github.com/anpavel84-afk/gobadminton-clean/issues/394</x:v>
      </x:c>
      <x:c r="G121" s="40" t="str">
        <x:v>https://github.com/anpavel84-afk/gobadminton/blob/main/docs/product/backlog/registry.json</x:v>
      </x:c>
    </x:row>
    <x:row r="122" ht="52" customHeight="1">
      <x:c r="A122" s="40" t="str">
        <x:v>GB-117</x:v>
      </x:c>
      <x:c r="B122" s="40" t="str">
        <x:v>Показывать понятную загрузку вместо пустых экранов</x:v>
      </x:c>
      <x:c r="C122" s="40" t="str">
        <x:v>Частично; точечная регрессия</x:v>
      </x:c>
      <x:c r="D122" s="40" t="str">
        <x:v>A06</x:v>
      </x:c>
      <x:c r="E122" s="40" t="str">
        <x:v>Загрузчики реализованы; нынешний ложный empty/залипающий loader проверять в #445, не запускать общий rewrite.</x:v>
      </x:c>
      <x:c r="F122" s="40" t="str">
        <x:v>https://github.com/anpavel84-afk/gobadminton-clean/issues/394</x:v>
      </x:c>
      <x:c r="G122" s="40" t="str">
        <x:v>https://github.com/anpavel84-afk/gobadminton/blob/main/docs/product/backlog/registry.json</x:v>
      </x:c>
    </x:row>
    <x:row r="123" ht="66" customHeight="1">
      <x:c r="A123" s="40" t="str">
        <x:v>GB-118</x:v>
      </x:c>
      <x:c r="B123" s="40" t="str">
        <x:v>Сохранять единый визуальный стиль, иконки и ассеты после сборки</x:v>
      </x:c>
      <x:c r="C123" s="40" t="str">
        <x:v>Покрыто / точечная приёмка</x:v>
      </x:c>
      <x:c r="D123" s="40" t="str">
        <x:v>Нынешний UI/игры; остаток A06/A08</x:v>
      </x:c>
      <x:c r="E123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23" s="40" t="str">
        <x:v>https://github.com/anpavel84-afk/gobadminton-clean/issues/394</x:v>
      </x:c>
      <x:c r="G123" s="40" t="str">
        <x:v>https://github.com/anpavel84-afk/gobadminton/blob/main/docs/product/backlog/registry.json</x:v>
      </x:c>
    </x:row>
    <x:row r="124" ht="52" customHeight="1">
      <x:c r="A124" s="40" t="str">
        <x:v>GB-119</x:v>
      </x:c>
      <x:c r="B124" s="40" t="str">
        <x:v>Показывать игры на карте площадок</x:v>
      </x:c>
      <x:c r="C124" s="40" t="str">
        <x:v>Технически реализовано</x:v>
      </x:c>
      <x:c r="D124" s="40" t="str">
        <x:v>A06 только актуальная регрессия</x:v>
      </x:c>
      <x:c r="E124" s="40" t="str">
        <x:v>Общая карта/попапы/фильтры есть; старый старт карты не новая задача.</x:v>
      </x:c>
      <x:c r="F124" s="40" t="str">
        <x:v>https://github.com/anpavel84-afk/gobadminton-clean/issues/394</x:v>
      </x:c>
      <x:c r="G124" s="40" t="str">
        <x:v>https://github.com/anpavel84-afk/gobadminton/blob/main/docs/product/backlog/registry.json</x:v>
      </x:c>
    </x:row>
    <x:row r="125" ht="66" customHeight="1">
      <x:c r="A125" s="40" t="str">
        <x:v>GB-120</x:v>
      </x:c>
      <x:c r="B125" s="40" t="str">
        <x:v>Сделать загрузку аватара устойчивой к проблемам канала</x:v>
      </x:c>
      <x:c r="C125" s="40" t="str">
        <x:v>Покрыто / точечная приёмка</x:v>
      </x:c>
      <x:c r="D125" s="40" t="str">
        <x:v>Нынешний UI/игры; остаток A06/A08</x:v>
      </x:c>
      <x:c r="E125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25" s="40" t="str">
        <x:v>https://github.com/anpavel84-afk/gobadminton-clean/issues/394</x:v>
      </x:c>
      <x:c r="G125" s="40" t="str">
        <x:v>https://github.com/anpavel84-afk/gobadminton/blob/main/docs/product/backlog/registry.json</x:v>
      </x:c>
    </x:row>
    <x:row r="126" ht="66" customHeight="1">
      <x:c r="A126" s="40" t="str">
        <x:v>GB-121</x:v>
      </x:c>
      <x:c r="B126" s="40" t="str">
        <x:v>Сохранить отдельный канал GoBadminton между серверами</x:v>
      </x:c>
      <x:c r="C126" s="40" t="str">
        <x:v>Историческая OPS / парковка</x:v>
      </x:c>
      <x:c r="D126" s="40" t="str">
        <x:v>P01 или архив</x:v>
      </x:c>
      <x:c r="E126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126" s="40" t="str">
        <x:v>https://github.com/anpavel84-afk/gobadminton-clean/issues/29</x:v>
      </x:c>
      <x:c r="G126" s="40" t="str">
        <x:v>https://github.com/anpavel84-afk/gobadminton/blob/main/docs/product/backlog/registry.json</x:v>
      </x:c>
    </x:row>
    <x:row r="127" ht="52" customHeight="1">
      <x:c r="A127" s="40" t="str">
        <x:v>GB-122</x:v>
      </x:c>
      <x:c r="B127" s="40" t="str">
        <x:v>Возвращать после входа на исходную страницу</x:v>
      </x:c>
      <x:c r="C127" s="40" t="str">
        <x:v>Покрыто поздними исправлениями</x:v>
      </x:c>
      <x:c r="D127" s="40" t="str">
        <x:v>Текущая auth/invite регрессия</x:v>
      </x:c>
      <x:c r="E127" s="40" t="str">
        <x:v>PR387 и исправление continuation сохраняют приглашение/возврат после входа; проверять конкретный путь.</x:v>
      </x:c>
      <x:c r="F127" s="40" t="str">
        <x:v>https://github.com/anpavel84-afk/gobadminton-clean/issues/394</x:v>
      </x:c>
      <x:c r="G127" s="40" t="str">
        <x:v>https://github.com/anpavel84-afk/gobadminton/blob/main/docs/product/backlog/registry.json</x:v>
      </x:c>
    </x:row>
    <x:row r="128" ht="66" customHeight="1">
      <x:c r="A128" s="40" t="str">
        <x:v>GB-123</x:v>
      </x:c>
      <x:c r="B128" s="40" t="str">
        <x:v>Не тратить Codex на повторную проверку неизменившейся очереди</x:v>
      </x:c>
      <x:c r="C128" s="40" t="str">
        <x:v>Историческая OPS / парковка</x:v>
      </x:c>
      <x:c r="D128" s="40" t="str">
        <x:v>P01 или архив</x:v>
      </x:c>
      <x:c r="E128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128" s="40" t="str">
        <x:v>https://github.com/anpavel84-afk/gobadminton-clean/issues/29</x:v>
      </x:c>
      <x:c r="G128" s="40" t="str">
        <x:v>https://github.com/anpavel84-afk/gobadminton/blob/main/docs/product/backlog/registry.json</x:v>
      </x:c>
    </x:row>
    <x:row r="129" ht="66" customHeight="1">
      <x:c r="A129" s="40" t="str">
        <x:v>GB-124</x:v>
      </x:c>
      <x:c r="B129" s="40" t="str">
        <x:v>Разрешить авторизованному игроку создать первую игру</x:v>
      </x:c>
      <x:c r="C129" s="40" t="str">
        <x:v>Покрыто / точечная приёмка</x:v>
      </x:c>
      <x:c r="D129" s="40" t="str">
        <x:v>Нынешний UI/игры; остаток A06/A08</x:v>
      </x:c>
      <x:c r="E129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29" s="40" t="str">
        <x:v>https://github.com/anpavel84-afk/gobadminton-clean/issues/394</x:v>
      </x:c>
      <x:c r="G129" s="40" t="str">
        <x:v>https://github.com/anpavel84-afk/gobadminton/blob/main/docs/product/backlog/registry.json</x:v>
      </x:c>
    </x:row>
    <x:row r="130" ht="66" customHeight="1">
      <x:c r="A130" s="40" t="str">
        <x:v>GB-125</x:v>
      </x:c>
      <x:c r="B130" s="40" t="str">
        <x:v>Ограничить управление правами на конкретную игру</x:v>
      </x:c>
      <x:c r="C130" s="40" t="str">
        <x:v>Покрыто / точечная приёмка</x:v>
      </x:c>
      <x:c r="D130" s="40" t="str">
        <x:v>Нынешний UI/игры; остаток A06/A08</x:v>
      </x:c>
      <x:c r="E130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30" s="40" t="str">
        <x:v>https://github.com/anpavel84-afk/gobadminton-clean/issues/394</x:v>
      </x:c>
      <x:c r="G130" s="40" t="str">
        <x:v>https://github.com/anpavel84-afk/gobadminton/blob/main/docs/product/backlog/registry.json</x:v>
      </x:c>
    </x:row>
    <x:row r="131" ht="66" customHeight="1">
      <x:c r="A131" s="40" t="str">
        <x:v>GB-126</x:v>
      </x:c>
      <x:c r="B131" s="40" t="str">
        <x:v>Показывать оплату тренера отдельно от участия</x:v>
      </x:c>
      <x:c r="C131" s="40" t="str">
        <x:v>Покрыто / точечная приёмка</x:v>
      </x:c>
      <x:c r="D131" s="40" t="str">
        <x:v>Нынешний UI/игры; остаток A06/A08</x:v>
      </x:c>
      <x:c r="E131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31" s="40" t="str">
        <x:v>https://github.com/anpavel84-afk/gobadminton-clean/issues/394</x:v>
      </x:c>
      <x:c r="G131" s="40" t="str">
        <x:v>https://github.com/anpavel84-afk/gobadminton/blob/main/docs/product/backlog/registry.json</x:v>
      </x:c>
    </x:row>
    <x:row r="132" ht="66" customHeight="1">
      <x:c r="A132" s="40" t="str">
        <x:v>GB-127</x:v>
      </x:c>
      <x:c r="B132" s="40" t="str">
        <x:v>Добавить десктопный подвал и повторно используемые страницы</x:v>
      </x:c>
      <x:c r="C132" s="40" t="str">
        <x:v>Покрыто / точечная приёмка</x:v>
      </x:c>
      <x:c r="D132" s="40" t="str">
        <x:v>Нынешний UI/игры; остаток A06/A08</x:v>
      </x:c>
      <x:c r="E132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32" s="40" t="str">
        <x:v>https://github.com/anpavel84-afk/gobadminton-clean/issues/394</x:v>
      </x:c>
      <x:c r="G132" s="40" t="str">
        <x:v>https://github.com/anpavel84-afk/gobadminton/blob/main/docs/product/backlog/registry.json</x:v>
      </x:c>
    </x:row>
    <x:row r="133" ht="66" customHeight="1">
      <x:c r="A133" s="40" t="str">
        <x:v>GB-128</x:v>
      </x:c>
      <x:c r="B133" s="40" t="str">
        <x:v>Использовать единые выпадающие списки, окна и простые анимации</x:v>
      </x:c>
      <x:c r="C133" s="40" t="str">
        <x:v>Покрыто / точечная приёмка</x:v>
      </x:c>
      <x:c r="D133" s="40" t="str">
        <x:v>Нынешний UI/игры; остаток A06/A08</x:v>
      </x:c>
      <x:c r="E133" s="40" t="str">
        <x:v>Поздние макеты и релизы заменили старые точечные визуальные формулировки. Не восстанавливать октябрьский вид; проверять только конкретный актуальный дефект.</x:v>
      </x:c>
      <x:c r="F133" s="40" t="str">
        <x:v>https://github.com/anpavel84-afk/gobadminton-clean/issues/394</x:v>
      </x:c>
      <x:c r="G133" s="40" t="str">
        <x:v>https://github.com/anpavel84-afk/gobadminton/blob/main/docs/product/backlog/registry.json</x:v>
      </x:c>
    </x:row>
    <x:row r="134" ht="66" customHeight="1">
      <x:c r="A134" s="40" t="str">
        <x:v>GB-129</x:v>
      </x:c>
      <x:c r="B134" s="40" t="str">
        <x:v>Сохранять прямые хотфиксы в исходниках, чтобы следующий деплой их не стёр</x:v>
      </x:c>
      <x:c r="C134" s="40" t="str">
        <x:v>Историческая OPS / парковка</x:v>
      </x:c>
      <x:c r="D134" s="40" t="str">
        <x:v>P01 или архив</x:v>
      </x:c>
      <x:c r="E134" s="40" t="str">
        <x:v>Старые транспорт/runner/commissioning задачи не текущий продуктовый бэклог. Сохранить доказательства; переносить только конкретный живой остаток без старых инструкций.</x:v>
      </x:c>
      <x:c r="F134" s="40" t="str">
        <x:v>https://github.com/anpavel84-afk/gobadminton-clean/issues/29</x:v>
      </x:c>
      <x:c r="G134" s="40" t="str">
        <x:v>https://github.com/anpavel84-afk/gobadminton/blob/main/docs/product/backlog/registry.json</x:v>
      </x:c>
    </x:row>
    <x:row r="135" ht="52" customHeight="1">
      <x:c r="A135" s="40" t="str">
        <x:v>GB-130</x:v>
      </x:c>
      <x:c r="B135" s="40" t="str">
        <x:v>Вести постоянный продуктовый бэклог с понятными номерами</x:v>
      </x:c>
      <x:c r="C135" s="40" t="str">
        <x:v>Объединить / учёт</x:v>
      </x:c>
      <x:c r="D135" s="40" t="str">
        <x:v>A10 / #175</x:v>
      </x:c>
      <x:c r="E135" s="40" t="str">
        <x:v>Одна актуальная сверка статусов, преемников и фильтра active-context. Не шесть новых систем/реестров/мониторов.</x:v>
      </x:c>
      <x:c r="F135" s="40" t="str">
        <x:v>https://github.com/anpavel84-afk/gobadminton-clean/issues/175</x:v>
      </x:c>
      <x:c r="G135" s="40" t="str">
        <x:v>https://github.com/anpavel84-afk/gobadminton/blob/main/docs/product/backlog/registry.json</x:v>
      </x:c>
    </x:row>
    <x:row r="136" ht="52" customHeight="1">
      <x:c r="A136" s="40" t="str">
        <x:v>GB-131</x:v>
      </x:c>
      <x:c r="B136" s="40" t="str">
        <x:v>Разделять в карточке код, публикацию и приёмку Owner</x:v>
      </x:c>
      <x:c r="C136" s="40" t="str">
        <x:v>Объединить / учёт</x:v>
      </x:c>
      <x:c r="D136" s="40" t="str">
        <x:v>A10 / #175</x:v>
      </x:c>
      <x:c r="E136" s="40" t="str">
        <x:v>Одна актуальная сверка статусов, преемников и фильтра active-context. Не шесть новых систем/реестров/мониторов.</x:v>
      </x:c>
      <x:c r="F136" s="40" t="str">
        <x:v>https://github.com/anpavel84-afk/gobadminton-clean/issues/175</x:v>
      </x:c>
      <x:c r="G136" s="40" t="str">
        <x:v>https://github.com/anpavel84-afk/gobadminton/blob/main/docs/product/backlog/registry.json</x:v>
      </x:c>
    </x:row>
    <x:row r="137" ht="52" customHeight="1">
      <x:c r="A137" s="40" t="str">
        <x:v>GB-132</x:v>
      </x:c>
      <x:c r="B137" s="40" t="str">
        <x:v>Не удалять задачи при переносе, объединении или смене Runner</x:v>
      </x:c>
      <x:c r="C137" s="40" t="str">
        <x:v>Объединить / учёт</x:v>
      </x:c>
      <x:c r="D137" s="40" t="str">
        <x:v>A10 / #175</x:v>
      </x:c>
      <x:c r="E137" s="40" t="str">
        <x:v>Одна актуальная сверка статусов, преемников и фильтра active-context. Не шесть новых систем/реестров/мониторов.</x:v>
      </x:c>
      <x:c r="F137" s="40" t="str">
        <x:v>https://github.com/anpavel84-afk/gobadminton-clean/issues/175</x:v>
      </x:c>
      <x:c r="G137" s="40" t="str">
        <x:v>https://github.com/anpavel84-afk/gobadminton/blob/main/docs/product/backlog/registry.json</x:v>
      </x:c>
    </x:row>
    <x:row r="138" ht="52" customHeight="1">
      <x:c r="A138" s="40" t="str">
        <x:v>GB-133</x:v>
      </x:c>
      <x:c r="B138" s="40" t="str">
        <x:v>Обязать PM и остальные роли обновлять единый продуктовый реестр</x:v>
      </x:c>
      <x:c r="C138" s="40" t="str">
        <x:v>Объединить / учёт</x:v>
      </x:c>
      <x:c r="D138" s="40" t="str">
        <x:v>A10 / #175</x:v>
      </x:c>
      <x:c r="E138" s="40" t="str">
        <x:v>Одна актуальная сверка статусов, преемников и фильтра active-context. Не шесть новых систем/реестров/мониторов.</x:v>
      </x:c>
      <x:c r="F138" s="40" t="str">
        <x:v>https://github.com/anpavel84-afk/gobadminton-clean/issues/175</x:v>
      </x:c>
      <x:c r="G138" s="40" t="str">
        <x:v>https://github.com/anpavel84-afk/gobadminton/blob/main/docs/product/backlog/registry.json</x:v>
      </x:c>
    </x:row>
    <x:row r="139" ht="52" customHeight="1">
      <x:c r="A139" s="40" t="str">
        <x:v>GB-134</x:v>
      </x:c>
      <x:c r="B139" s="40" t="str">
        <x:v>Закрывать продуктовую задачу только после явной приёмки Owner</x:v>
      </x:c>
      <x:c r="C139" s="40" t="str">
        <x:v>Объединить / учёт</x:v>
      </x:c>
      <x:c r="D139" s="40" t="str">
        <x:v>A10 / #175</x:v>
      </x:c>
      <x:c r="E139" s="40" t="str">
        <x:v>Одна актуальная сверка статусов, преемников и фильтра active-context. Не шесть новых систем/реестров/мониторов.</x:v>
      </x:c>
      <x:c r="F139" s="40" t="str">
        <x:v>https://github.com/anpavel84-afk/gobadminton-clean/issues/175</x:v>
      </x:c>
      <x:c r="G139" s="40" t="str">
        <x:v>https://github.com/anpavel84-afk/gobadminton/blob/main/docs/product/backlog/registry.json</x:v>
      </x:c>
    </x:row>
    <x:row r="140" ht="52" customHeight="1">
      <x:c r="A140" s="40" t="str">
        <x:v>GB-135</x:v>
      </x:c>
      <x:c r="B140" s="40" t="str">
        <x:v>Разобрать технические записи, для которых ещё не найдена точная продуктовая связь</x:v>
      </x:c>
      <x:c r="C140" s="40" t="str">
        <x:v>Объединить / учёт</x:v>
      </x:c>
      <x:c r="D140" s="40" t="str">
        <x:v>A10 / #175</x:v>
      </x:c>
      <x:c r="E140" s="40" t="str">
        <x:v>Одна актуальная сверка статусов, преемников и фильтра active-context. Не шесть новых систем/реестров/мониторов.</x:v>
      </x:c>
      <x:c r="F140" s="40" t="str">
        <x:v>https://github.com/anpavel84-afk/gobadminton-clean/issues/175</x:v>
      </x:c>
      <x:c r="G140" s="40" t="str">
        <x:v>https://github.com/anpavel84-afk/gobadminton/blob/main/docs/product/backlog/registry.json</x:v>
      </x:c>
    </x:row>
    <x:row r="141" ht="66" customHeight="1">
      <x:c r="A141" s="40" t="str">
        <x:v>GB-136</x:v>
      </x:c>
      <x:c r="B141" s="40" t="str">
        <x:v>Выполнять фоновые задания без потери и повторных уведомлений</x:v>
      </x:c>
      <x:c r="C141" s="40" t="str">
        <x:v>Точечная надёжность, не новый движок</x:v>
      </x:c>
      <x:c r="D141" s="40" t="str">
        <x:v>P01 / существующий worker</x:v>
      </x:c>
      <x:c r="E141" s="40" t="str">
        <x:v>Долговечные очереди уже используются email/продуктом. Для нового канала или фактического сбоя — адресные проверки; старое общее пожелание не повод строить dispatcher.</x:v>
      </x:c>
      <x:c r="F141" s="40" t="str">
        <x:v>https://github.com/anpavel84-afk/gobadminton-clean/pull/443</x:v>
      </x:c>
      <x:c r="G141" s="40" t="str">
        <x:v>https://github.com/anpavel84-afk/gobadminton/blob/main/docs/product/backlog/registry.json</x:v>
      </x:c>
    </x:row>
    <x:row r="142" ht="66" customHeight="1">
      <x:c r="A142" s="40" t="str">
        <x:v>GB-137</x:v>
      </x:c>
      <x:c r="B142" s="40" t="str">
        <x:v>Согласовать и проверить работу профилей, сообщений, приглашений и чатов вместе</x:v>
      </x:c>
      <x:c r="C142" s="40" t="str">
        <x:v>Сквозная приёмка</x:v>
      </x:c>
      <x:c r="D142" s="40" t="str">
        <x:v>A02 / A08</x:v>
      </x:c>
      <x:c r="E142" s="40" t="str">
        <x:v>Проверить имеющиеся сценарии в составе E2E; заявки, отмены, чат и внешние условия оплаты не создавать заново. При дефекте выделять точный остаток.</x:v>
      </x:c>
      <x:c r="F142" s="40" t="str">
        <x:v>https://github.com/anpavel84-afk/gobadminton-clean/blob/dev/docs/product/JOURNEYS.md</x:v>
      </x:c>
      <x:c r="G142" s="40" t="str">
        <x:v>https://github.com/anpavel84-afk/gobadminton/blob/main/docs/product/backlog/registry.json</x:v>
      </x:c>
    </x:row>
    <x:row r="143" ht="66" customHeight="1">
      <x:c r="A143" s="40" t="str">
        <x:v>GB-138</x:v>
      </x:c>
      <x:c r="B143" s="40" t="str">
        <x:v>Показывать стоимость игры и кому оплачивать участие</x:v>
      </x:c>
      <x:c r="C143" s="40" t="str">
        <x:v>Сквозная приёмка</x:v>
      </x:c>
      <x:c r="D143" s="40" t="str">
        <x:v>A02 / A08</x:v>
      </x:c>
      <x:c r="E143" s="40" t="str">
        <x:v>Проверить имеющиеся сценарии в составе E2E; заявки, отмены, чат и внешние условия оплаты не создавать заново. При дефекте выделять точный остаток.</x:v>
      </x:c>
      <x:c r="F143" s="40" t="str">
        <x:v>https://github.com/anpavel84-afk/gobadminton-clean/blob/dev/docs/product/JOURNEYS.md</x:v>
      </x:c>
      <x:c r="G143" s="40" t="str">
        <x:v>https://github.com/anpavel84-afk/gobadminton/blob/main/docs/product/backlog/registry.json</x:v>
      </x:c>
    </x:row>
    <x:row r="144" ht="66" customHeight="1">
      <x:c r="A144" s="40" t="str">
        <x:v>GB-139</x:v>
      </x:c>
      <x:c r="B144" s="40" t="str">
        <x:v>Показывать отмену игры и прекращать набор участников</x:v>
      </x:c>
      <x:c r="C144" s="40" t="str">
        <x:v>Сквозная приёмка</x:v>
      </x:c>
      <x:c r="D144" s="40" t="str">
        <x:v>A02 / A08</x:v>
      </x:c>
      <x:c r="E144" s="40" t="str">
        <x:v>Проверить имеющиеся сценарии в составе E2E; заявки, отмены, чат и внешние условия оплаты не создавать заново. При дефекте выделять точный остаток.</x:v>
      </x:c>
      <x:c r="F144" s="40" t="str">
        <x:v>https://github.com/anpavel84-afk/gobadminton-clean/blob/dev/docs/product/JOURNEYS.md</x:v>
      </x:c>
      <x:c r="G144" s="40" t="str">
        <x:v>https://github.com/anpavel84-afk/gobadminton/blob/main/docs/product/backlog/registry.json</x:v>
      </x:c>
    </x:row>
    <x:row r="145" ht="66" customHeight="1">
      <x:c r="A145" s="40" t="str">
        <x:v>GB-140</x:v>
      </x:c>
      <x:c r="B145" s="40" t="str">
        <x:v>Помочь новичку выбрать понятный уровень и подходящую игру</x:v>
      </x:c>
      <x:c r="C145" s="40" t="str">
        <x:v>Отдельное продуктовое решение</x:v>
      </x:c>
      <x:c r="D145" s="40" t="str">
        <x:v>R04; #372 для факта посещения</x:v>
      </x:c>
      <x:c r="E145" s="40" t="str">
        <x:v>Needs_triage/proposed в старом реестре. Посещение реализуется в #372, аналитика/метрики и новый onboarding ещё не подтверждены как текущий обязательный выпуск.</x:v>
      </x:c>
      <x:c r="F145" s="40" t="str">
        <x:v>https://github.com/anpavel84-afk/gobadminton-clean/blob/dev/docs/product/METRICS_AND_PILOT.md</x:v>
      </x:c>
      <x:c r="G145" s="40" t="str">
        <x:v>https://github.com/anpavel84-afk/gobadminton/blob/main/docs/product/backlog/registry.json</x:v>
      </x:c>
    </x:row>
    <x:row r="146" ht="66" customHeight="1">
      <x:c r="A146" s="40" t="str">
        <x:v>GB-141</x:v>
      </x:c>
      <x:c r="B146" s="40" t="str">
        <x:v>Отмечать состоявшееся занятие и повторное участие игрока</x:v>
      </x:c>
      <x:c r="C146" s="40" t="str">
        <x:v>Отдельное продуктовое решение</x:v>
      </x:c>
      <x:c r="D146" s="40" t="str">
        <x:v>R04; #372 для факта посещения</x:v>
      </x:c>
      <x:c r="E146" s="40" t="str">
        <x:v>Needs_triage/proposed в старом реестре. Посещение реализуется в #372, аналитика/метрики и новый onboarding ещё не подтверждены как текущий обязательный выпуск.</x:v>
      </x:c>
      <x:c r="F146" s="40" t="str">
        <x:v>https://github.com/anpavel84-afk/gobadminton-clean/blob/dev/docs/product/METRICS_AND_PILOT.md</x:v>
      </x:c>
      <x:c r="G146" s="40" t="str">
        <x:v>https://github.com/anpavel84-afk/gobadminton/blob/main/docs/product/backlog/registry.json</x:v>
      </x:c>
    </x:row>
    <x:row r="147" ht="52" customHeight="1">
      <x:c r="A147" s="40" t="str">
        <x:v>GB-142</x:v>
      </x:c>
      <x:c r="B147" s="40" t="str">
        <x:v>Не допускать вытеснения частных игр однотипными клубными событиями</x:v>
      </x:c>
      <x:c r="C147" s="40" t="str">
        <x:v>Холодный roadmap / решение</x:v>
      </x:c>
      <x:c r="D147" s="40" t="str">
        <x:v>P02 / R04</x:v>
      </x:c>
      <x:c r="E147" s="40" t="str">
        <x:v>Будущее или needs_triage. Не является ближайшим Owner-approved implementation; не запускать автоматически.</x:v>
      </x:c>
      <x:c r="F147" s="40" t="str">
        <x:v>https://github.com/anpavel84-afk/gobadminton-clean/blob/dev/docs/product/SCOPE.md</x:v>
      </x:c>
      <x:c r="G147" s="40" t="str">
        <x:v>https://github.com/anpavel84-afk/gobadminton/blob/main/docs/product/backlog/registry.json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95de9bedcae14ec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8" hidden="0" customWidth="1"/>
    <x:col min="4" max="4" width="31" hidden="0" customWidth="1"/>
    <x:col min="5" max="5" width="40" hidden="0" customWidth="1"/>
    <x:col min="6" max="6" width="40" hidden="0" customWidth="1"/>
  </x:cols>
  <x:sheetData>
    <x:row r="1" ht="24" customHeight="1">
      <x:c r="A1" s="28" t="str">
        <x:v>33 позиции октябрьского среза</x:v>
      </x:c>
      <x:c r="B1" s="28"/>
      <x:c r="C1" s="28"/>
      <x:c r="D1" s="28"/>
      <x:c r="E1" s="28"/>
      <x:c r="F1" s="28"/>
    </x:row>
    <x:row r="2" ht="24" customHeight="1">
      <x:c r="A2" s="28"/>
      <x:c r="B2" s="28"/>
      <x:c r="C2" s="28"/>
      <x:c r="D2" s="28"/>
      <x:c r="E2" s="28"/>
      <x:c r="F2" s="28"/>
    </x:row>
    <x:row r="3" ht="34" customHeight="1">
      <x:c r="A3" s="33" t="str">
        <x:v>Особенно важны замены T6/T7/T8, D1/T0a-2/T0a-4 и цепочки M3/Radar. Этот snapshot НЕ текущий admission и не очередь.</x:v>
      </x:c>
      <x:c r="B3" s="33"/>
      <x:c r="C3" s="33"/>
      <x:c r="D3" s="33"/>
      <x:c r="E3" s="33"/>
      <x:c r="F3" s="33"/>
    </x:row>
    <x:row r="5" ht="30" customHeight="1">
      <x:c r="A5" s="44" t="str">
        <x:v>Старый код</x:v>
      </x:c>
      <x:c r="B5" s="44" t="str">
        <x:v>Issue/носитель</x:v>
      </x:c>
      <x:c r="C5" s="44" t="str">
        <x:v>Смысл</x:v>
      </x:c>
      <x:c r="D5" s="44" t="str">
        <x:v>Текущая судьба</x:v>
      </x:c>
      <x:c r="E5" s="44" t="str">
        <x:v>Куда относится</x:v>
      </x:c>
      <x:c r="F5" s="44" t="str">
        <x:v>Ограничение</x:v>
      </x:c>
    </x:row>
    <x:row r="6" ht="42" customHeight="1">
      <x:c r="A6" s="40" t="str">
        <x:v>UI-CLOSE</x:v>
      </x:c>
      <x:c r="B6" s="40" t="str">
        <x:v>#157</x:v>
      </x:c>
      <x:c r="C6" s="40" t="str">
        <x:v>Единая кнопка закрытия</x:v>
      </x:c>
      <x:c r="D6" s="40" t="str">
        <x:v>Технически выпущено</x:v>
      </x:c>
      <x:c r="E6" s="40" t="str">
        <x:v>#157 / PR164; последующие диалоги #425</x:v>
      </x:c>
      <x:c r="F6" s="40" t="str">
        <x:v>Не ставить заново.</x:v>
      </x:c>
    </x:row>
    <x:row r="7" ht="42" customHeight="1">
      <x:c r="A7" s="40" t="str">
        <x:v>M6</x:v>
      </x:c>
      <x:c r="B7" s="40" t="str">
        <x:v>#106</x:v>
      </x:c>
      <x:c r="C7" s="40" t="str">
        <x:v>Подписи источников фото</x:v>
      </x:c>
      <x:c r="D7" s="40" t="str">
        <x:v>Технически выпущено</x:v>
      </x:c>
      <x:c r="E7" s="40" t="str">
        <x:v>#106 / PR107; галерея #427</x:v>
      </x:c>
      <x:c r="F7" s="40" t="str">
        <x:v>Сохранять credit при новых фото.</x:v>
      </x:c>
    </x:row>
    <x:row r="8" ht="42" customHeight="1">
      <x:c r="A8" s="40" t="str">
        <x:v>I1</x:v>
      </x:c>
      <x:c r="B8" s="40" t="str">
        <x:v>#109</x:v>
      </x:c>
      <x:c r="C8" s="40" t="str">
        <x:v>Импорт 20 обложек</x:v>
      </x:c>
      <x:c r="D8" s="40" t="str">
        <x:v>Технически выпущено</x:v>
      </x:c>
      <x:c r="E8" s="40" t="str">
        <x:v>#109; затем #422/PR428</x:v>
      </x:c>
      <x:c r="F8" s="40" t="str">
        <x:v>20 исходных изображений есть; новые данные — #422.</x:v>
      </x:c>
    </x:row>
    <x:row r="9" ht="42" customHeight="1">
      <x:c r="A9" s="40" t="str">
        <x:v>NAV1</x:v>
      </x:c>
      <x:c r="B9" s="40" t="str">
        <x:v>#108</x:v>
      </x:c>
      <x:c r="C9" s="40" t="str">
        <x:v>Нижнее меню и иконки</x:v>
      </x:c>
      <x:c r="D9" s="40" t="str">
        <x:v>Технически выпущено</x:v>
      </x:c>
      <x:c r="E9" s="40" t="str">
        <x:v>#108 / PR110</x:v>
      </x:c>
      <x:c r="F9" s="40" t="str">
        <x:v>Не возвращать старый макет.</x:v>
      </x:c>
    </x:row>
    <x:row r="10" ht="42" customHeight="1">
      <x:c r="A10" s="40" t="str">
        <x:v>MAP-PERF1</x:v>
      </x:c>
      <x:c r="B10" s="40" t="str">
        <x:v>#368</x:v>
      </x:c>
      <x:c r="C10" s="40" t="str">
        <x:v>Предзагрузка карты / loader</x:v>
      </x:c>
      <x:c r="D10" s="40" t="str">
        <x:v>Свести остаток</x:v>
      </x:c>
      <x:c r="E10" s="40" t="str">
        <x:v>A06 / #445; код PR369</x:v>
      </x:c>
      <x:c r="F10" s="40" t="str">
        <x:v>Предзагрузка выпущена. Измерять сегодняшние дефекты.</x:v>
      </x:c>
    </x:row>
    <x:row r="11" ht="42" customHeight="1">
      <x:c r="A11" s="40" t="str">
        <x:v>M2</x:v>
      </x:c>
      <x:c r="B11" s="40" t="str">
        <x:v>#112</x:v>
      </x:c>
      <x:c r="C11" s="40" t="str">
        <x:v>Компактная карточка на карте</x:v>
      </x:c>
      <x:c r="D11" s="40" t="str">
        <x:v>Технически выпущено</x:v>
      </x:c>
      <x:c r="E11" s="40" t="str">
        <x:v>#112 / PR113, #365</x:v>
      </x:c>
      <x:c r="F11" s="40" t="str">
        <x:v>Только новая воспроизводимая регрессия.</x:v>
      </x:c>
    </x:row>
    <x:row r="12" ht="42" customHeight="1">
      <x:c r="A12" s="40" t="str">
        <x:v>V0</x:v>
      </x:c>
      <x:c r="B12" s="40" t="str">
        <x:v>#114</x:v>
      </x:c>
      <x:c r="C12" s="40" t="str">
        <x:v>Без Admin-запросов для гостей</x:v>
      </x:c>
      <x:c r="D12" s="40" t="str">
        <x:v>Технически выпущено</x:v>
      </x:c>
      <x:c r="E12" s="40" t="str">
        <x:v>#114 / PR118</x:v>
      </x:c>
      <x:c r="F12" s="40" t="str">
        <x:v>Не открывать Admin для удаления ожидаемых 401/404.</x:v>
      </x:c>
    </x:row>
    <x:row r="13" ht="42" customHeight="1">
      <x:c r="A13" s="40" t="str">
        <x:v>M3</x:v>
      </x:c>
      <x:c r="B13" s="40" t="str">
        <x:v>#133/#142</x:v>
      </x:c>
      <x:c r="C13" s="40" t="str">
        <x:v>Попап площадки с контактами</x:v>
      </x:c>
      <x:c r="D13" s="40" t="str">
        <x:v>Технически выпущено</x:v>
      </x:c>
      <x:c r="E13" s="40" t="str">
        <x:v>#142 / PR145; #156/#365</x:v>
      </x:c>
      <x:c r="F13" s="40" t="str">
        <x:v>Не начинать снова всю шторку.</x:v>
      </x:c>
    </x:row>
    <x:row r="14" ht="42" customHeight="1">
      <x:c r="A14" s="40" t="str">
        <x:v>M2R</x:v>
      </x:c>
      <x:c r="B14" s="40" t="str">
        <x:v>#149/#177/#308</x:v>
      </x:c>
      <x:c r="C14" s="40" t="str">
        <x:v>Карточка Radar и игры игрока</x:v>
      </x:c>
      <x:c r="D14" s="40" t="str">
        <x:v>Заменено преемником</x:v>
      </x:c>
      <x:c r="E14" s="40" t="str">
        <x:v>#308 / PR309,362–364,371</x:v>
      </x:c>
      <x:c r="F14" s="40" t="str">
        <x:v>Старые #149/#177 и PR169/183 убрать из active.</x:v>
      </x:c>
    </x:row>
    <x:row r="15" ht="42" customHeight="1">
      <x:c r="A15" s="40" t="str">
        <x:v>NAV1b</x:v>
      </x:c>
      <x:c r="B15" s="40" t="str">
        <x:v>#136/#138</x:v>
      </x:c>
      <x:c r="C15" s="40" t="str">
        <x:v>Иконка волана</x:v>
      </x:c>
      <x:c r="D15" s="40" t="str">
        <x:v>Технически выпущено</x:v>
      </x:c>
      <x:c r="E15" s="40" t="str">
        <x:v>#138 / PR139</x:v>
      </x:c>
      <x:c r="F15" s="40" t="str">
        <x:v>Старый R1/PR137 не сливать.</x:v>
      </x:c>
    </x:row>
    <x:row r="16" ht="42" customHeight="1">
      <x:c r="A16" s="40" t="str">
        <x:v>V1a</x:v>
      </x:c>
      <x:c r="B16" s="40" t="str">
        <x:v>#170/#178</x:v>
      </x:c>
      <x:c r="C16" s="40" t="str">
        <x:v>Единая модель площадки</x:v>
      </x:c>
      <x:c r="D16" s="40" t="str">
        <x:v>Технически выпущено</x:v>
      </x:c>
      <x:c r="E16" s="40" t="str">
        <x:v>#178 / PR187; #427</x:v>
      </x:c>
      <x:c r="F16" s="40" t="str">
        <x:v>Исходный PR173 заменён.</x:v>
      </x:c>
    </x:row>
    <x:row r="17" ht="42" customHeight="1">
      <x:c r="A17" s="40" t="str">
        <x:v>V1b</x:v>
      </x:c>
      <x:c r="B17" s="40" t="str">
        <x:v>#205/#230/#271</x:v>
      </x:c>
      <x:c r="C17" s="40" t="str">
        <x:v>Профиль и контакты площадки/игры</x:v>
      </x:c>
      <x:c r="D17" s="40" t="str">
        <x:v>Технически выпущено</x:v>
      </x:c>
      <x:c r="E17" s="40" t="str">
        <x:v>#205 / PR206; #271 / PR272</x:v>
      </x:c>
      <x:c r="F17" s="40" t="str">
        <x:v>Ролевые поля не смешивать с publicContacts.</x:v>
      </x:c>
    </x:row>
    <x:row r="18" ht="42" customHeight="1">
      <x:c r="A18" s="40" t="str">
        <x:v>V3b</x:v>
      </x:c>
      <x:c r="B18" s="40" t="str">
        <x:v>#207</x:v>
      </x:c>
      <x:c r="C18" s="40" t="str">
        <x:v>Admin профиля площадки</x:v>
      </x:c>
      <x:c r="D18" s="40" t="str">
        <x:v>Технически выпущено</x:v>
      </x:c>
      <x:c r="E18" s="40" t="str">
        <x:v>#207 / PR210; #427</x:v>
      </x:c>
      <x:c r="F18" s="40" t="str">
        <x:v>Не разрабатывать второй редактор.</x:v>
      </x:c>
    </x:row>
    <x:row r="19" ht="42" customHeight="1">
      <x:c r="A19" s="40" t="str">
        <x:v>V2</x:v>
      </x:c>
      <x:c r="B19" s="40" t="str">
        <x:v>#422</x:v>
      </x:c>
      <x:c r="C19" s="40" t="str">
        <x:v>Импорт контактов</x:v>
      </x:c>
      <x:c r="D19" s="40" t="str">
        <x:v>Реальный остаток</x:v>
      </x:c>
      <x:c r="E19" s="40" t="str">
        <x:v>A04 / #422</x:v>
      </x:c>
      <x:c r="F19" s="40" t="str">
        <x:v>CLI готов; 37 из99 ещё без контактов.</x:v>
      </x:c>
    </x:row>
    <x:row r="20" ht="42" customHeight="1">
      <x:c r="A20" s="40" t="str">
        <x:v>M0d</x:v>
      </x:c>
      <x:c r="B20" s="40" t="str">
        <x:v>#96</x:v>
      </x:c>
      <x:c r="C20" s="40" t="str">
        <x:v>mapdebug</x:v>
      </x:c>
      <x:c r="D20" s="40" t="str">
        <x:v>Только при воспроизведении</x:v>
      </x:c>
      <x:c r="E20" s="40" t="str">
        <x:v>A06 / #445</x:v>
      </x:c>
      <x:c r="F20" s="40" t="str">
        <x:v>Не отдельный бесконечный диагностический проект.</x:v>
      </x:c>
    </x:row>
    <x:row r="21" ht="42" customHeight="1">
      <x:c r="A21" s="40" t="str">
        <x:v>M5</x:v>
      </x:c>
      <x:c r="B21" s="40" t="str">
        <x:v>—</x:v>
      </x:c>
      <x:c r="C21" s="40" t="str">
        <x:v>Необязательные анимации карты</x:v>
      </x:c>
      <x:c r="D21" s="40" t="str">
        <x:v>Холодный roadmap</x:v>
      </x:c>
      <x:c r="E21" s="40" t="str">
        <x:v>После приёмки основного продукта</x:v>
      </x:c>
      <x:c r="F21" s="40" t="str">
        <x:v>Не автоматически из старого бэклога.</x:v>
      </x:c>
    </x:row>
    <x:row r="22" ht="42" customHeight="1">
      <x:c r="A22" s="40" t="str">
        <x:v>M7</x:v>
      </x:c>
      <x:c r="B22" s="40" t="str">
        <x:v>—</x:v>
      </x:c>
      <x:c r="C22" s="40" t="str">
        <x:v>Петербург/реестр городов</x:v>
      </x:c>
      <x:c r="D22" s="40" t="str">
        <x:v>Холодный roadmap</x:v>
      </x:c>
      <x:c r="E22" s="40" t="str">
        <x:v>R03</x:v>
      </x:c>
      <x:c r="F22" s="40" t="str">
        <x:v>Каталог СПб есть; map assets отдельно.</x:v>
      </x:c>
    </x:row>
    <x:row r="23" ht="42" customHeight="1">
      <x:c r="A23" s="40" t="str">
        <x:v>D1</x:v>
      </x:c>
      <x:c r="B23" s="40" t="str">
        <x:v>#386</x:v>
      </x:c>
      <x:c r="C23" s="40" t="str">
        <x:v>Контакты до создания игры</x:v>
      </x:c>
      <x:c r="D23" s="40" t="str">
        <x:v>Актуальный остаток</x:v>
      </x:c>
      <x:c r="E23" s="40" t="str">
        <x:v>A03 / #373 + #386</x:v>
      </x:c>
      <x:c r="F23" s="40" t="str">
        <x:v>Не держать за AGY Author.</x:v>
      </x:c>
    </x:row>
    <x:row r="24" ht="42" customHeight="1">
      <x:c r="A24" s="40" t="str">
        <x:v>ML614</x:v>
      </x:c>
      <x:c r="B24" s="40" t="str">
        <x:v>—</x:v>
      </x:c>
      <x:c r="C24" s="40" t="str">
        <x:v>Проверить MapLibre/Safari</x:v>
      </x:c>
      <x:c r="D24" s="40" t="str">
        <x:v>Не отдельная задача</x:v>
      </x:c>
      <x:c r="E24" s="40" t="str">
        <x:v>A06 только доказанный version-bug</x:v>
      </x:c>
      <x:c r="F24" s="40" t="str">
        <x:v>Не обновлять библиотеку без причинного теста.</x:v>
      </x:c>
    </x:row>
    <x:row r="25" ht="42" customHeight="1">
      <x:c r="A25" s="40" t="str">
        <x:v>T0a-2</x:v>
      </x:c>
      <x:c r="B25" s="40" t="str">
        <x:v>#386</x:v>
      </x:c>
      <x:c r="C25" s="40" t="str">
        <x:v>Помощь и шаблон сообщения о корте</x:v>
      </x:c>
      <x:c r="D25" s="40" t="str">
        <x:v>Объединить</x:v>
      </x:c>
      <x:c r="E25" s="40" t="str">
        <x:v>A03 / #373 + #386</x:v>
      </x:c>
      <x:c r="F25" s="40" t="str">
        <x:v>Один сценарий с контактами и ручным статусом.</x:v>
      </x:c>
    </x:row>
    <x:row r="26" ht="42" customHeight="1">
      <x:c r="A26" s="40" t="str">
        <x:v>T0a-4</x:v>
      </x:c>
      <x:c r="B26" s="40" t="str">
        <x:v>#373</x:v>
      </x:c>
      <x:c r="C26" s="40" t="str">
        <x:v>Отметка организатора о брони</x:v>
      </x:c>
      <x:c r="D26" s="40" t="str">
        <x:v>Актуальный остаток</x:v>
      </x:c>
      <x:c r="E26" s="40" t="str">
        <x:v>A03 / #373</x:v>
      </x:c>
      <x:c r="F26" s="40" t="str">
        <x:v>Не означает реальный booking/payment engine.</x:v>
      </x:c>
    </x:row>
    <x:row r="27" ht="42" customHeight="1">
      <x:c r="A27" s="40" t="str">
        <x:v>T2</x:v>
      </x:c>
      <x:c r="B27" s="40" t="str">
        <x:v>#372</x:v>
      </x:c>
      <x:c r="C27" s="40" t="str">
        <x:v>Посещаемость, итог, возражение, UI</x:v>
      </x:c>
      <x:c r="D27" s="40" t="str">
        <x:v>Частично выпущено</x:v>
      </x:c>
      <x:c r="E27" s="40" t="str">
        <x:v>A01/A02 / #372</x:v>
      </x:c>
      <x:c r="F27" s="40" t="str">
        <x:v>PG1a/1b/2 готовы; не переписывать; PG3/4 остаток.</x:v>
      </x:c>
    </x:row>
    <x:row r="28" ht="42" customHeight="1">
      <x:c r="A28" s="40" t="str">
        <x:v>T4</x:v>
      </x:c>
      <x:c r="B28" s="40" t="str">
        <x:v>#372</x:v>
      </x:c>
      <x:c r="C28" s="40" t="str">
        <x:v>Административное разрешение споров</x:v>
      </x:c>
      <x:c r="D28" s="40" t="str">
        <x:v>Технически выпущено DEV</x:v>
      </x:c>
      <x:c r="E28" s="40" t="str">
        <x:v>PR441; A02 для E2E</x:v>
      </x:c>
      <x:c r="F28" s="40" t="str">
        <x:v>Не новая модерационная система; PROD отдельно.</x:v>
      </x:c>
    </x:row>
    <x:row r="29" ht="42" customHeight="1">
      <x:c r="A29" s="40" t="str">
        <x:v>T5</x:v>
      </x:c>
      <x:c r="B29" s="40" t="str">
        <x:v>#372</x:v>
      </x:c>
      <x:c r="C29" s="40" t="str">
        <x:v>Напоминания об итогах</x:v>
      </x:c>
      <x:c r="D29" s="40" t="str">
        <x:v>Roadmap follow-up</x:v>
      </x:c>
      <x:c r="E29" s="40" t="str">
        <x:v>R02</x:v>
      </x:c>
      <x:c r="F29" s="40" t="str">
        <x:v>Не путать с уже выпущенным own notice.</x:v>
      </x:c>
    </x:row>
    <x:row r="30" ht="42" customHeight="1">
      <x:c r="A30" s="40" t="str">
        <x:v>T6</x:v>
      </x:c>
      <x:c r="B30" s="40" t="str">
        <x:v>#372</x:v>
      </x:c>
      <x:c r="C30" s="40" t="str">
        <x:v>Отзывы, ответ, жалоба</x:v>
      </x:c>
      <x:c r="D30" s="40" t="str">
        <x:v>Переопределено</x:v>
      </x:c>
      <x:c r="E30" s="40" t="str">
        <x:v>A01 / PG3</x:v>
      </x:c>
      <x:c r="F30" s="40" t="str">
        <x:v>Игрокам — категории, не публичные звёзды; организация 1–5 отдельно.</x:v>
      </x:c>
    </x:row>
    <x:row r="31" ht="42" customHeight="1">
      <x:c r="A31" s="40" t="str">
        <x:v>T7</x:v>
      </x:c>
      <x:c r="B31" s="40" t="str">
        <x:v>—</x:v>
      </x:c>
      <x:c r="C31" s="40" t="str">
        <x:v>Голосования за несоответствие уровня</x:v>
      </x:c>
      <x:c r="D31" s="40" t="str">
        <x:v>Устарело для текущего MVP</x:v>
      </x:c>
      <x:c r="E31" s="40" t="str">
        <x:v>Холодная идея только по новому решению</x:v>
      </x:c>
      <x:c r="F31" s="40" t="str">
        <x:v>Утверждённый Postgame не меняет skill/ранжирование.</x:v>
      </x:c>
    </x:row>
    <x:row r="32" ht="42" customHeight="1">
      <x:c r="A32" s="40" t="str">
        <x:v>T8</x:v>
      </x:c>
      <x:c r="B32" s="40" t="str">
        <x:v>#372</x:v>
      </x:c>
      <x:c r="C32" s="40" t="str">
        <x:v>Отзыв о тренерском занятии</x:v>
      </x:c>
      <x:c r="D32" s="40" t="str">
        <x:v>Объединить</x:v>
      </x:c>
      <x:c r="E32" s="40" t="str">
        <x:v>A01 / PG3</x:v>
      </x:c>
      <x:c r="F32" s="40" t="str">
        <x:v>Контекст конкретного trainer-led опыта; не публичный рейтинг тренеров.</x:v>
      </x:c>
    </x:row>
    <x:row r="33" ht="42" customHeight="1">
      <x:c r="A33" s="40" t="str">
        <x:v>FR-2</x:v>
      </x:c>
      <x:c r="B33" s="40" t="str">
        <x:v>#12/#448</x:v>
      </x:c>
      <x:c r="C33" s="40" t="str">
        <x:v>Включение друзей на DEV</x:v>
      </x:c>
      <x:c r="D33" s="40" t="str">
        <x:v>Технически выпущено</x:v>
      </x:c>
      <x:c r="E33" s="40" t="str">
        <x:v>PR387/436/449</x:v>
      </x:c>
      <x:c r="F33" s="40" t="str">
        <x:v>Не повторять включение или сбрасывать реальные opt-out.</x:v>
      </x:c>
    </x:row>
    <x:row r="34" ht="42" customHeight="1">
      <x:c r="A34" s="40" t="str">
        <x:v>FR-3</x:v>
      </x:c>
      <x:c r="B34" s="40" t="str">
        <x:v>#181/#182</x:v>
      </x:c>
      <x:c r="C34" s="40" t="str">
        <x:v>Советовать игру другу</x:v>
      </x:c>
      <x:c r="D34" s="40" t="str">
        <x:v>Технически выпущено</x:v>
      </x:c>
      <x:c r="E34" s="40" t="str">
        <x:v>PR189/367; browser QA #445 PASS</x:v>
      </x:c>
      <x:c r="F34" s="40" t="str">
        <x:v>FR-3/4/5/7 — одна функция; не четыре новые задачи.</x:v>
      </x:c>
    </x:row>
    <x:row r="35" ht="42" customHeight="1">
      <x:c r="A35" s="40" t="str">
        <x:v>FR-8</x:v>
      </x:c>
      <x:c r="B35" s="40" t="str">
        <x:v>—</x:v>
      </x:c>
      <x:c r="C35" s="40" t="str">
        <x:v>Рекомендации закрытых игр</x:v>
      </x:c>
      <x:c r="D35" s="40" t="str">
        <x:v>Холодный roadmap / не включать</x:v>
      </x:c>
      <x:c r="E35" s="40" t="str">
        <x:v>Пока публичные игры только</x:v>
      </x:c>
      <x:c r="F35" s="40" t="str">
        <x:v>Требует отдельного ACL/продуктового решения.</x:v>
      </x:c>
    </x:row>
    <x:row r="36" ht="42" customHeight="1">
      <x:c r="A36" s="40" t="str">
        <x:v>MAP-FILTER</x:v>
      </x:c>
      <x:c r="B36" s="40" t="str">
        <x:v>#184</x:v>
      </x:c>
      <x:c r="C36" s="40" t="str">
        <x:v>Фильтры площадок/Radar</x:v>
      </x:c>
      <x:c r="D36" s="40" t="str">
        <x:v>Технически выпущено</x:v>
      </x:c>
      <x:c r="E36" s="40" t="str">
        <x:v>#184 CLOSED; PR353/357</x:v>
      </x:c>
      <x:c r="F36" s="40" t="str">
        <x:v>Не создавать второй фильтр.</x:v>
      </x:c>
    </x:row>
    <x:row r="37" ht="42" customHeight="1">
      <x:c r="A37" s="40" t="str">
        <x:v>M3-PHOTO</x:v>
      </x:c>
      <x:c r="B37" s="40" t="str">
        <x:v>#141/#144/#147</x:v>
      </x:c>
      <x:c r="C37" s="40" t="str">
        <x:v>Не перезагружать фото при раскрытии</x:v>
      </x:c>
      <x:c r="D37" s="40" t="str">
        <x:v>Технически выпущено</x:v>
      </x:c>
      <x:c r="E37" s="40" t="str">
        <x:v>#147 / PR148</x:v>
      </x:c>
      <x:c r="F37" s="40" t="str">
        <x:v>Новые задержки проверять в #406.</x:v>
      </x:c>
    </x:row>
    <x:row r="38" ht="42" customHeight="1">
      <x:c r="A38" s="40" t="str">
        <x:v>I1-RUN</x:v>
      </x:c>
      <x:c r="B38" s="40" t="str">
        <x:v>#422</x:v>
      </x:c>
      <x:c r="C38" s="40" t="str">
        <x:v>Подтвердить фактический импорт 20</x:v>
      </x:c>
      <x:c r="D38" s="40" t="str">
        <x:v>Исходная проверка завершена</x:v>
      </x:c>
      <x:c r="E38" s="40" t="str">
        <x:v>Readback20/20; потом gallery26</x:v>
      </x:c>
      <x:c r="F38" s="40" t="str">
        <x:v>Новые фото — контент #422; старый batch не повторять.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219af453695401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16" hidden="0" customWidth="1"/>
    <x:col min="4" max="4" width="38" hidden="0" customWidth="1"/>
    <x:col min="5" max="5" width="40" hidden="0" customWidth="1"/>
    <x:col min="6" max="6" width="38" hidden="0" customWidth="1"/>
  </x:cols>
  <x:sheetData>
    <x:row r="1" ht="24" customHeight="1">
      <x:c r="A1" s="28" t="str">
        <x:v>52 открытых PR — не очередь автомержа</x:v>
      </x:c>
      <x:c r="B1" s="28"/>
      <x:c r="C1" s="28"/>
      <x:c r="D1" s="28"/>
      <x:c r="E1" s="28"/>
      <x:c r="F1" s="28"/>
    </x:row>
    <x:row r="2" ht="24" customHeight="1">
      <x:c r="A2" s="28"/>
      <x:c r="B2" s="28"/>
      <x:c r="C2" s="28"/>
      <x:c r="D2" s="28"/>
      <x:c r="E2" s="28"/>
      <x:c r="F2" s="28"/>
    </x:row>
    <x:row r="3" ht="34" customHeight="1">
      <x:c r="A3" s="33" t="str">
        <x:v>Консервативная разметка: непубликованный OPS-кандидат не объявлен DONE. Перед закрытием сверить точный невошедший diff и runtime-эффекты.</x:v>
      </x:c>
      <x:c r="B3" s="33"/>
      <x:c r="C3" s="33"/>
      <x:c r="D3" s="33"/>
      <x:c r="E3" s="33"/>
      <x:c r="F3" s="33"/>
    </x:row>
    <x:row r="5" ht="30" customHeight="1">
      <x:c r="A5" s="44" t="str">
        <x:v>PR</x:v>
      </x:c>
      <x:c r="B5" s="44" t="str">
        <x:v>Краткий смысл</x:v>
      </x:c>
      <x:c r="C5" s="44" t="str">
        <x:v>Состояние GitHub</x:v>
      </x:c>
      <x:c r="D5" s="44" t="str">
        <x:v>Рекомендация</x:v>
      </x:c>
      <x:c r="E5" s="44" t="str">
        <x:v>Основание / следующий шаг</x:v>
      </x:c>
      <x:c r="F5" s="44" t="str">
        <x:v>Ссылка</x:v>
      </x:c>
    </x:row>
    <x:row r="6" ht="42" customHeight="1">
      <x:c r="A6" s="40" t="n">
        <x:v>7</x:v>
      </x:c>
      <x:c r="B6" s="40" t="str">
        <x:v>Старый reverse-XHTTP/mTLS транспорт</x:v>
      </x:c>
      <x:c r="C6" s="40" t="str">
        <x:v>OPEN</x:v>
      </x:c>
      <x:c r="D6" s="40" t="str">
        <x:v>Кандидат на архив после delta-сверки</x:v>
      </x:c>
      <x:c r="E6" s="40" t="str">
        <x:v>Сверить с действующим транспортом; старый новый туннель не внедрять автоматически.</x:v>
      </x:c>
      <x:c r="F6" s="40" t="str">
        <x:v>https://github.com/anpavel84-afk/gobadminton-clean/pull/7</x:v>
      </x:c>
    </x:row>
    <x:row r="7" ht="52" customHeight="1">
      <x:c r="A7" s="40" t="n">
        <x:v>8</x:v>
      </x:c>
      <x:c r="B7" s="40" t="str">
        <x:v>Политика одного Owner-поручения</x:v>
      </x:c>
      <x:c r="C7" s="40" t="str">
        <x:v>OPEN</x:v>
      </x:c>
      <x:c r="D7" s="40" t="str">
        <x:v>Историческая политика / proposal</x:v>
      </x:c>
      <x:c r="E7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7" s="40" t="str">
        <x:v>https://github.com/anpavel84-afk/gobadminton-clean/pull/8</x:v>
      </x:c>
    </x:row>
    <x:row r="8" ht="42" customHeight="1">
      <x:c r="A8" s="40" t="n">
        <x:v>9</x:v>
      </x:c>
      <x:c r="B8" s="40" t="str">
        <x:v>Начальная Germany DEV/PROD изоляция</x:v>
      </x:c>
      <x:c r="C8" s="40" t="str">
        <x:v>OPEN</x:v>
      </x:c>
      <x:c r="D8" s="40" t="str">
        <x:v>Кандидат на архив после delta-сверки</x:v>
      </x:c>
      <x:c r="E8" s="40" t="str">
        <x:v>Изоляция DEV фактически есть. Не повторять initial commissioning.</x:v>
      </x:c>
      <x:c r="F8" s="40" t="str">
        <x:v>https://github.com/anpavel84-afk/gobadminton-clean/pull/9</x:v>
      </x:c>
    </x:row>
    <x:row r="9" ht="52" customHeight="1">
      <x:c r="A9" s="40" t="n">
        <x:v>10</x:v>
      </x:c>
      <x:c r="B9" s="40" t="str">
        <x:v>Начальная политика DEV previews</x:v>
      </x:c>
      <x:c r="C9" s="40" t="str">
        <x:v>OPEN</x:v>
      </x:c>
      <x:c r="D9" s="40" t="str">
        <x:v>Историческая политика / proposal</x:v>
      </x:c>
      <x:c r="E9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9" s="40" t="str">
        <x:v>https://github.com/anpavel84-afk/gobadminton-clean/pull/10</x:v>
      </x:c>
    </x:row>
    <x:row r="10" ht="42" customHeight="1">
      <x:c r="A10" s="40" t="n">
        <x:v>16</x:v>
      </x:c>
      <x:c r="B10" s="40" t="str">
        <x:v>Начальный пакет Friends/Map/Radar</x:v>
      </x:c>
      <x:c r="C10" s="40" t="str">
        <x:v>OPEN</x:v>
      </x:c>
      <x:c r="D10" s="40" t="str">
        <x:v>Кандидат на архив после delta-сверки</x:v>
      </x:c>
      <x:c r="E10" s="40" t="str">
        <x:v>Пакет разложен и реализован более поздними продуктами.</x:v>
      </x:c>
      <x:c r="F10" s="40" t="str">
        <x:v>https://github.com/anpavel84-afk/gobadminton-clean/pull/16</x:v>
      </x:c>
    </x:row>
    <x:row r="11" ht="42" customHeight="1">
      <x:c r="A11" s="40" t="n">
        <x:v>19</x:v>
      </x:c>
      <x:c r="B11" s="40" t="str">
        <x:v>Radar #13 source candidate</x:v>
      </x:c>
      <x:c r="C11" s="40" t="str">
        <x:v>OPEN</x:v>
      </x:c>
      <x:c r="D11" s="40" t="str">
        <x:v>Кандидат на архив после delta-сверки</x:v>
      </x:c>
      <x:c r="E11" s="40" t="str">
        <x:v>Результат покрыт PR25/39 и поздними Radar изменениями.</x:v>
      </x:c>
      <x:c r="F11" s="40" t="str">
        <x:v>https://github.com/anpavel84-afk/gobadminton-clean/pull/19</x:v>
      </x:c>
    </x:row>
    <x:row r="12" ht="42" customHeight="1">
      <x:c r="A12" s="40" t="n">
        <x:v>20</x:v>
      </x:c>
      <x:c r="B12" s="40" t="str">
        <x:v>Friends #12 source candidate</x:v>
      </x:c>
      <x:c r="C12" s="40" t="str">
        <x:v>OPEN</x:v>
      </x:c>
      <x:c r="D12" s="40" t="str">
        <x:v>Кандидат на архив после delta-сверки</x:v>
      </x:c>
      <x:c r="E12" s="40" t="str">
        <x:v>Friends реализованы PR27/50 и последующими.</x:v>
      </x:c>
      <x:c r="F12" s="40" t="str">
        <x:v>https://github.com/anpavel84-afk/gobadminton-clean/pull/20</x:v>
      </x:c>
    </x:row>
    <x:row r="13" ht="42" customHeight="1">
      <x:c r="A13" s="40" t="n">
        <x:v>21</x:v>
      </x:c>
      <x:c r="B13" s="40" t="str">
        <x:v>Clean Runner Owner intake</x:v>
      </x:c>
      <x:c r="C13" s="40" t="str">
        <x:v>OPEN</x:v>
      </x:c>
      <x:c r="D13" s="40" t="str">
        <x:v>Кандидат на архив после delta-сверки</x:v>
      </x:c>
      <x:c r="E13" s="40" t="str">
        <x:v>Старый runner intake заменён текущим Lean/Actions контуром.</x:v>
      </x:c>
      <x:c r="F13" s="40" t="str">
        <x:v>https://github.com/anpavel84-afk/gobadminton-clean/pull/21</x:v>
      </x:c>
    </x:row>
    <x:row r="14" ht="42" customHeight="1">
      <x:c r="A14" s="40" t="n">
        <x:v>44</x:v>
      </x:c>
      <x:c r="B14" s="40" t="str">
        <x:v>Next.js route guard раннего executor</x:v>
      </x:c>
      <x:c r="C14" s="40" t="str">
        <x:v>OPEN</x:v>
      </x:c>
      <x:c r="D14" s="40" t="str">
        <x:v>Кандидат на архив после delta-сверки</x:v>
      </x:c>
      <x:c r="E14" s="40" t="str">
        <x:v>Старый runtime guard имеет поздние версии; не устанавливать старый pin.</x:v>
      </x:c>
      <x:c r="F14" s="40" t="str">
        <x:v>https://github.com/anpavel84-afk/gobadminton-clean/pull/44</x:v>
      </x:c>
    </x:row>
    <x:row r="15" ht="52" customHeight="1">
      <x:c r="A15" s="40" t="n">
        <x:v>73</x:v>
      </x:c>
      <x:c r="B15" s="40" t="str">
        <x:v>Утверждённая модель Postgame — документы</x:v>
      </x:c>
      <x:c r="C15" s="40" t="str">
        <x:v>OPEN</x:v>
      </x:c>
      <x:c r="D15" s="40" t="str">
        <x:v>Канон — сохранить, не задача</x:v>
      </x:c>
      <x:c r="E15" s="40" t="str">
        <x:v>Утверждённая модель Postgame по pinned193276. Не удалять документ вместе с тупиковыми ветками; не повторять PG-0.</x:v>
      </x:c>
      <x:c r="F15" s="40" t="str">
        <x:v>https://github.com/anpavel84-afk/gobadminton-clean/pull/73</x:v>
      </x:c>
    </x:row>
    <x:row r="16" ht="66" customHeight="1">
      <x:c r="A16" s="40" t="n">
        <x:v>81</x:v>
      </x:c>
      <x:c r="B16" s="40" t="str">
        <x:v>Старый PARK_V1.1</x:v>
      </x:c>
      <x:c r="C16" s="40" t="str">
        <x:v>OPEN</x:v>
      </x:c>
      <x:c r="D16" s="40" t="str">
        <x:v>Парковка OPS / без автомержа</x:v>
      </x:c>
      <x:c r="E16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16" s="40" t="str">
        <x:v>https://github.com/anpavel84-afk/gobadminton-clean/pull/81</x:v>
      </x:c>
    </x:row>
    <x:row r="17" ht="42" customHeight="1">
      <x:c r="A17" s="40" t="n">
        <x:v>95</x:v>
      </x:c>
      <x:c r="B17" s="40" t="str">
        <x:v>Кандидат #94 marker states</x:v>
      </x:c>
      <x:c r="C17" s="40" t="str">
        <x:v>OPEN</x:v>
      </x:c>
      <x:c r="D17" s="40" t="str">
        <x:v>Кандидат на архив после delta-сверки</x:v>
      </x:c>
      <x:c r="E17" s="40" t="str">
        <x:v>Сверить marker остаток с PR353 и #445. Старый кандидат не мержить наугад.</x:v>
      </x:c>
      <x:c r="F17" s="40" t="str">
        <x:v>https://github.com/anpavel84-afk/gobadminton-clean/pull/95</x:v>
      </x:c>
    </x:row>
    <x:row r="18" ht="42" customHeight="1">
      <x:c r="A18" s="40" t="n">
        <x:v>97</x:v>
      </x:c>
      <x:c r="B18" s="40" t="str">
        <x:v>Кандидат #96 iPhone lifecycle</x:v>
      </x:c>
      <x:c r="C18" s="40" t="str">
        <x:v>OPEN</x:v>
      </x:c>
      <x:c r="D18" s="40" t="str">
        <x:v>Кандидат на архив после delta-сверки</x:v>
      </x:c>
      <x:c r="E18" s="40" t="str">
        <x:v>Линия продолжена PR99 и текущими map-патчами. Нужен только актуальный остаток.</x:v>
      </x:c>
      <x:c r="F18" s="40" t="str">
        <x:v>https://github.com/anpavel84-afk/gobadminton-clean/pull/97</x:v>
      </x:c>
    </x:row>
    <x:row r="19" ht="66" customHeight="1">
      <x:c r="A19" s="40" t="n">
        <x:v>100</x:v>
      </x:c>
      <x:c r="B19" s="40" t="str">
        <x:v>OPS parallel slots V1</x:v>
      </x:c>
      <x:c r="C19" s="40" t="str">
        <x:v>OPEN</x:v>
      </x:c>
      <x:c r="D19" s="40" t="str">
        <x:v>Парковка OPS / без автомержа</x:v>
      </x:c>
      <x:c r="E19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19" s="40" t="str">
        <x:v>https://github.com/anpavel84-afk/gobadminton-clean/pull/100</x:v>
      </x:c>
    </x:row>
    <x:row r="20" ht="52" customHeight="1">
      <x:c r="A20" s="40" t="n">
        <x:v>102</x:v>
      </x:c>
      <x:c r="B20" s="40" t="str">
        <x:v>Старый OPS takeover runbook</x:v>
      </x:c>
      <x:c r="C20" s="40" t="str">
        <x:v>OPEN</x:v>
      </x:c>
      <x:c r="D20" s="40" t="str">
        <x:v>Историческая политика / proposal</x:v>
      </x:c>
      <x:c r="E20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20" s="40" t="str">
        <x:v>https://github.com/anpavel84-afk/gobadminton-clean/pull/102</x:v>
      </x:c>
    </x:row>
    <x:row r="21" ht="42" customHeight="1">
      <x:c r="A21" s="40" t="n">
        <x:v>120</x:v>
      </x:c>
      <x:c r="B21" s="40" t="str">
        <x:v>Кандидат #117 venue popup</x:v>
      </x:c>
      <x:c r="C21" s="40" t="str">
        <x:v>OPEN</x:v>
      </x:c>
      <x:c r="D21" s="40" t="str">
        <x:v>Кандидат на архив после delta-сверки</x:v>
      </x:c>
      <x:c r="E21" s="40" t="str">
        <x:v>Преемник PR128 и последующие #156/#365 уже поставлены.</x:v>
      </x:c>
      <x:c r="F21" s="40" t="str">
        <x:v>https://github.com/anpavel84-afk/gobadminton-clean/pull/120</x:v>
      </x:c>
    </x:row>
    <x:row r="22" ht="42" customHeight="1">
      <x:c r="A22" s="40" t="n">
        <x:v>137</x:v>
      </x:c>
      <x:c r="B22" s="40" t="str">
        <x:v>Кандидат #136 иконка волана</x:v>
      </x:c>
      <x:c r="C22" s="40" t="str">
        <x:v>OPEN</x:v>
      </x:c>
      <x:c r="D22" s="40" t="str">
        <x:v>Кандидат на архив после delta-сверки</x:v>
      </x:c>
      <x:c r="E22" s="40" t="str">
        <x:v>Преемник PR139 принят.</x:v>
      </x:c>
      <x:c r="F22" s="40" t="str">
        <x:v>https://github.com/anpavel84-afk/gobadminton-clean/pull/137</x:v>
      </x:c>
    </x:row>
    <x:row r="23" ht="42" customHeight="1">
      <x:c r="A23" s="40" t="n">
        <x:v>140</x:v>
      </x:c>
      <x:c r="B23" s="40" t="str">
        <x:v>Кандидат #134 public contacts</x:v>
      </x:c>
      <x:c r="C23" s="40" t="str">
        <x:v>OPEN</x:v>
      </x:c>
      <x:c r="D23" s="40" t="str">
        <x:v>Кандидат на архив после delta-сверки</x:v>
      </x:c>
      <x:c r="E23" s="40" t="str">
        <x:v>Преемник PR145 принят.</x:v>
      </x:c>
      <x:c r="F23" s="40" t="str">
        <x:v>https://github.com/anpavel84-afk/gobadminton-clean/pull/140</x:v>
      </x:c>
    </x:row>
    <x:row r="24" ht="42" customHeight="1">
      <x:c r="A24" s="40" t="n">
        <x:v>143</x:v>
      </x:c>
      <x:c r="B24" s="40" t="str">
        <x:v>Кандидат #141 photo R1</x:v>
      </x:c>
      <x:c r="C24" s="40" t="str">
        <x:v>OPEN</x:v>
      </x:c>
      <x:c r="D24" s="40" t="str">
        <x:v>Кандидат на архив после delta-сверки</x:v>
      </x:c>
      <x:c r="E24" s="40" t="str">
        <x:v>Преемник PR148 принят.</x:v>
      </x:c>
      <x:c r="F24" s="40" t="str">
        <x:v>https://github.com/anpavel84-afk/gobadminton-clean/pull/143</x:v>
      </x:c>
    </x:row>
    <x:row r="25" ht="42" customHeight="1">
      <x:c r="A25" s="40" t="n">
        <x:v>146</x:v>
      </x:c>
      <x:c r="B25" s="40" t="str">
        <x:v>Кандидат #144 photo R2</x:v>
      </x:c>
      <x:c r="C25" s="40" t="str">
        <x:v>OPEN</x:v>
      </x:c>
      <x:c r="D25" s="40" t="str">
        <x:v>Кандидат на архив после delta-сверки</x:v>
      </x:c>
      <x:c r="E25" s="40" t="str">
        <x:v>Преемник PR148 принят.</x:v>
      </x:c>
      <x:c r="F25" s="40" t="str">
        <x:v>https://github.com/anpavel84-afk/gobadminton-clean/pull/146</x:v>
      </x:c>
    </x:row>
    <x:row r="26" ht="66" customHeight="1">
      <x:c r="A26" s="40" t="n">
        <x:v>150</x:v>
      </x:c>
      <x:c r="B26" s="40" t="str">
        <x:v>Commissioning двух слотов и monitor</x:v>
      </x:c>
      <x:c r="C26" s="40" t="str">
        <x:v>OPEN</x:v>
      </x:c>
      <x:c r="D26" s="40" t="str">
        <x:v>Парковка OPS / без автомержа</x:v>
      </x:c>
      <x:c r="E26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26" s="40" t="str">
        <x:v>https://github.com/anpavel84-afk/gobadminton-clean/pull/150</x:v>
      </x:c>
    </x:row>
    <x:row r="27" ht="42" customHeight="1">
      <x:c r="A27" s="40" t="n">
        <x:v>169</x:v>
      </x:c>
      <x:c r="B27" s="40" t="str">
        <x:v>Кандидат #149 Radar R1</x:v>
      </x:c>
      <x:c r="C27" s="40" t="str">
        <x:v>OPEN</x:v>
      </x:c>
      <x:c r="D27" s="40" t="str">
        <x:v>Кандидат на архив после delta-сверки</x:v>
      </x:c>
      <x:c r="E27" s="40" t="str">
        <x:v>Преемник #308/PR309,362–364.</x:v>
      </x:c>
      <x:c r="F27" s="40" t="str">
        <x:v>https://github.com/anpavel84-afk/gobadminton-clean/pull/169</x:v>
      </x:c>
    </x:row>
    <x:row r="28" ht="42" customHeight="1">
      <x:c r="A28" s="40" t="n">
        <x:v>173</x:v>
      </x:c>
      <x:c r="B28" s="40" t="str">
        <x:v>Кандидат #170 venue model R1</x:v>
      </x:c>
      <x:c r="C28" s="40" t="str">
        <x:v>OPEN</x:v>
      </x:c>
      <x:c r="D28" s="40" t="str">
        <x:v>Кандидат на архив после delta-сверки</x:v>
      </x:c>
      <x:c r="E28" s="40" t="str">
        <x:v>Преемник #178/PR187.</x:v>
      </x:c>
      <x:c r="F28" s="40" t="str">
        <x:v>https://github.com/anpavel84-afk/gobadminton-clean/pull/173</x:v>
      </x:c>
    </x:row>
    <x:row r="29" ht="42" customHeight="1">
      <x:c r="A29" s="40" t="n">
        <x:v>183</x:v>
      </x:c>
      <x:c r="B29" s="40" t="str">
        <x:v>Кандидат #177 Radar R4</x:v>
      </x:c>
      <x:c r="C29" s="40" t="str">
        <x:v>OPEN</x:v>
      </x:c>
      <x:c r="D29" s="40" t="str">
        <x:v>Кандидат на архив после delta-сверки</x:v>
      </x:c>
      <x:c r="E29" s="40" t="str">
        <x:v>Преемник #308/PR309,362–364.</x:v>
      </x:c>
      <x:c r="F29" s="40" t="str">
        <x:v>https://github.com/anpavel84-afk/gobadminton-clean/pull/183</x:v>
      </x:c>
    </x:row>
    <x:row r="30" ht="52" customHeight="1">
      <x:c r="A30" s="40" t="n">
        <x:v>222</x:v>
      </x:c>
      <x:c r="B30" s="40" t="str">
        <x:v>Owner DEV-key policy</x:v>
      </x:c>
      <x:c r="C30" s="40" t="str">
        <x:v>OPEN</x:v>
      </x:c>
      <x:c r="D30" s="40" t="str">
        <x:v>Историческая политика / proposal</x:v>
      </x:c>
      <x:c r="E30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30" s="40" t="str">
        <x:v>https://github.com/anpavel84-afk/gobadminton-clean/pull/222</x:v>
      </x:c>
    </x:row>
    <x:row r="31" ht="42" customHeight="1">
      <x:c r="A31" s="40" t="n">
        <x:v>224</x:v>
      </x:c>
      <x:c r="B31" s="40" t="str">
        <x:v>Кандидат #211 cost/routing</x:v>
      </x:c>
      <x:c r="C31" s="40" t="str">
        <x:v>OPEN</x:v>
      </x:c>
      <x:c r="D31" s="40" t="str">
        <x:v>Кандидат на архив после delta-сверки</x:v>
      </x:c>
      <x:c r="E31" s="40" t="str">
        <x:v>Сверить со следующим #225/PR305/307; старый проход не возобновлять.</x:v>
      </x:c>
      <x:c r="F31" s="40" t="str">
        <x:v>https://github.com/anpavel84-afk/gobadminton-clean/pull/224</x:v>
      </x:c>
    </x:row>
    <x:row r="32" ht="42" customHeight="1">
      <x:c r="A32" s="40" t="n">
        <x:v>228</x:v>
      </x:c>
      <x:c r="B32" s="40" t="str">
        <x:v>Кандидат #225 JSON numeric validation</x:v>
      </x:c>
      <x:c r="C32" s="40" t="str">
        <x:v>OPEN</x:v>
      </x:c>
      <x:c r="D32" s="40" t="str">
        <x:v>Кандидат на архив после delta-сверки</x:v>
      </x:c>
      <x:c r="E32" s="40" t="str">
        <x:v>JSON-check исправлен поздними PR305/307; сравнить остаток без модели.</x:v>
      </x:c>
      <x:c r="F32" s="40" t="str">
        <x:v>https://github.com/anpavel84-afk/gobadminton-clean/pull/228</x:v>
      </x:c>
    </x:row>
    <x:row r="33" ht="52" customHeight="1">
      <x:c r="A33" s="40" t="n">
        <x:v>237</x:v>
      </x:c>
      <x:c r="B33" s="40" t="str">
        <x:v>PMA Artifact Hub handoff</x:v>
      </x:c>
      <x:c r="C33" s="40" t="str">
        <x:v>OPEN</x:v>
      </x:c>
      <x:c r="D33" s="40" t="str">
        <x:v>Историческая политика / proposal</x:v>
      </x:c>
      <x:c r="E33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33" s="40" t="str">
        <x:v>https://github.com/anpavel84-afk/gobadminton-clean/pull/237</x:v>
      </x:c>
    </x:row>
    <x:row r="34" ht="42" customHeight="1">
      <x:c r="A34" s="40" t="n">
        <x:v>239</x:v>
      </x:c>
      <x:c r="B34" s="40" t="str">
        <x:v>Context exchange 1.3 proposal</x:v>
      </x:c>
      <x:c r="C34" s="40" t="str">
        <x:v>OPEN</x:v>
      </x:c>
      <x:c r="D34" s="40" t="str">
        <x:v>Кандидат на архив после delta-сверки</x:v>
      </x:c>
      <x:c r="E34" s="40" t="str">
        <x:v>Основной Context Exchange принят PR240; не запускать proposal как новый проект.</x:v>
      </x:c>
      <x:c r="F34" s="40" t="str">
        <x:v>https://github.com/anpavel84-afk/gobadminton-clean/pull/239</x:v>
      </x:c>
    </x:row>
    <x:row r="35" ht="42" customHeight="1">
      <x:c r="A35" s="40" t="n">
        <x:v>241</x:v>
      </x:c>
      <x:c r="B35" s="40" t="str">
        <x:v>Ремонт старого pre-model UNKNOWN</x:v>
      </x:c>
      <x:c r="C35" s="40" t="str">
        <x:v>OPEN</x:v>
      </x:c>
      <x:c r="D35" s="40" t="str">
        <x:v>Кандидат на архив после delta-сверки</x:v>
      </x:c>
      <x:c r="E35" s="40" t="str">
        <x:v>Устаревшее поколение/операция. Не replay; сохранить immutable receipts.</x:v>
      </x:c>
      <x:c r="F35" s="40" t="str">
        <x:v>https://github.com/anpavel84-afk/gobadminton-clean/pull/241</x:v>
      </x:c>
    </x:row>
    <x:row r="36" ht="42" customHeight="1">
      <x:c r="A36" s="40" t="n">
        <x:v>242</x:v>
      </x:c>
      <x:c r="B36" s="40" t="str">
        <x:v>Исторический Advisor launcher</x:v>
      </x:c>
      <x:c r="C36" s="40" t="str">
        <x:v>OPEN</x:v>
      </x:c>
      <x:c r="D36" s="40" t="str">
        <x:v>Кандидат на архив после delta-сверки</x:v>
      </x:c>
      <x:c r="E36" s="40" t="str">
        <x:v>Использовать один актуальный handoff; этот launcher исторический.</x:v>
      </x:c>
      <x:c r="F36" s="40" t="str">
        <x:v>https://github.com/anpavel84-afk/gobadminton-clean/pull/242</x:v>
      </x:c>
    </x:row>
    <x:row r="37" ht="52" customHeight="1">
      <x:c r="A37" s="40" t="n">
        <x:v>264</x:v>
      </x:c>
      <x:c r="B37" s="40" t="str">
        <x:v>Cross-Model QA proposal</x:v>
      </x:c>
      <x:c r="C37" s="40" t="str">
        <x:v>OPEN</x:v>
      </x:c>
      <x:c r="D37" s="40" t="str">
        <x:v>Историческая политика / proposal</x:v>
      </x:c>
      <x:c r="E37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37" s="40" t="str">
        <x:v>https://github.com/anpavel84-afk/gobadminton-clean/pull/264</x:v>
      </x:c>
    </x:row>
    <x:row r="38" ht="52" customHeight="1">
      <x:c r="A38" s="40" t="n">
        <x:v>266</x:v>
      </x:c>
      <x:c r="B38" s="40" t="str">
        <x:v>Cross-Model QA stage proposal</x:v>
      </x:c>
      <x:c r="C38" s="40" t="str">
        <x:v>OPEN</x:v>
      </x:c>
      <x:c r="D38" s="40" t="str">
        <x:v>Историческая политика / proposal</x:v>
      </x:c>
      <x:c r="E38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38" s="40" t="str">
        <x:v>https://github.com/anpavel84-afk/gobadminton-clean/pull/266</x:v>
      </x:c>
    </x:row>
    <x:row r="39" ht="66" customHeight="1">
      <x:c r="A39" s="40" t="n">
        <x:v>269</x:v>
      </x:c>
      <x:c r="B39" s="40" t="str">
        <x:v>QA-reuse protection repair</x:v>
      </x:c>
      <x:c r="C39" s="40" t="str">
        <x:v>OPEN</x:v>
      </x:c>
      <x:c r="D39" s="40" t="str">
        <x:v>Парковка OPS / без автомержа</x:v>
      </x:c>
      <x:c r="E39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39" s="40" t="str">
        <x:v>https://github.com/anpavel84-afk/gobadminton-clean/pull/269</x:v>
      </x:c>
    </x:row>
    <x:row r="40" ht="42" customHeight="1">
      <x:c r="A40" s="40" t="n">
        <x:v>275</x:v>
      </x:c>
      <x:c r="B40" s="40" t="str">
        <x:v>Исторический Advisor V6 launcher</x:v>
      </x:c>
      <x:c r="C40" s="40" t="str">
        <x:v>OPEN</x:v>
      </x:c>
      <x:c r="D40" s="40" t="str">
        <x:v>Кандидат на архив после delta-сверки</x:v>
      </x:c>
      <x:c r="E40" s="40" t="str">
        <x:v>Использовать один актуальный handoff; этот launcher исторический.</x:v>
      </x:c>
      <x:c r="F40" s="40" t="str">
        <x:v>https://github.com/anpavel84-afk/gobadminton-clean/pull/275</x:v>
      </x:c>
    </x:row>
    <x:row r="41" ht="52" customHeight="1">
      <x:c r="A41" s="40" t="n">
        <x:v>281</x:v>
      </x:c>
      <x:c r="B41" s="40" t="str">
        <x:v>Smart routing proposal</x:v>
      </x:c>
      <x:c r="C41" s="40" t="str">
        <x:v>OPEN</x:v>
      </x:c>
      <x:c r="D41" s="40" t="str">
        <x:v>Историческая политика / proposal</x:v>
      </x:c>
      <x:c r="E41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41" s="40" t="str">
        <x:v>https://github.com/anpavel84-afk/gobadminton-clean/pull/281</x:v>
      </x:c>
    </x:row>
    <x:row r="42" ht="52" customHeight="1">
      <x:c r="A42" s="40" t="n">
        <x:v>283</x:v>
      </x:c>
      <x:c r="B42" s="40" t="str">
        <x:v>Policy provider-refusal proposal</x:v>
      </x:c>
      <x:c r="C42" s="40" t="str">
        <x:v>OPEN</x:v>
      </x:c>
      <x:c r="D42" s="40" t="str">
        <x:v>Историческая политика / proposal</x:v>
      </x:c>
      <x:c r="E42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42" s="40" t="str">
        <x:v>https://github.com/anpavel84-afk/gobadminton-clean/pull/283</x:v>
      </x:c>
    </x:row>
    <x:row r="43" ht="42" customHeight="1">
      <x:c r="A43" s="40" t="n">
        <x:v>289</x:v>
      </x:c>
      <x:c r="B43" s="40" t="str">
        <x:v>Исторический installed checkpoint</x:v>
      </x:c>
      <x:c r="C43" s="40" t="str">
        <x:v>OPEN</x:v>
      </x:c>
      <x:c r="D43" s="40" t="str">
        <x:v>Кандидат на архив после delta-сверки</x:v>
      </x:c>
      <x:c r="E43" s="40" t="str">
        <x:v>Исторический docs-checkpoint, не команда установки.</x:v>
      </x:c>
      <x:c r="F43" s="40" t="str">
        <x:v>https://github.com/anpavel84-afk/gobadminton-clean/pull/289</x:v>
      </x:c>
    </x:row>
    <x:row r="44" ht="66" customHeight="1">
      <x:c r="A44" s="40" t="n">
        <x:v>291</x:v>
      </x:c>
      <x:c r="B44" s="40" t="str">
        <x:v>Старый monitor slots presentation</x:v>
      </x:c>
      <x:c r="C44" s="40" t="str">
        <x:v>OPEN</x:v>
      </x:c>
      <x:c r="D44" s="40" t="str">
        <x:v>Парковка OPS / без автомержа</x:v>
      </x:c>
      <x:c r="E44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44" s="40" t="str">
        <x:v>https://github.com/anpavel84-afk/gobadminton-clean/pull/291</x:v>
      </x:c>
    </x:row>
    <x:row r="45" ht="42" customHeight="1">
      <x:c r="A45" s="40" t="n">
        <x:v>295</x:v>
      </x:c>
      <x:c r="B45" s="40" t="str">
        <x:v>Исторический CURRENT.md checkpoint</x:v>
      </x:c>
      <x:c r="C45" s="40" t="str">
        <x:v>OPEN</x:v>
      </x:c>
      <x:c r="D45" s="40" t="str">
        <x:v>Кандидат на архив после delta-сверки</x:v>
      </x:c>
      <x:c r="E45" s="40" t="str">
        <x:v>Историческая точка CURRENT, не сегодняшнее состояние.</x:v>
      </x:c>
      <x:c r="F45" s="40" t="str">
        <x:v>https://github.com/anpavel84-afk/gobadminton-clean/pull/295</x:v>
      </x:c>
    </x:row>
    <x:row r="46" ht="66" customHeight="1">
      <x:c r="A46" s="40" t="n">
        <x:v>298</x:v>
      </x:c>
      <x:c r="B46" s="40" t="str">
        <x:v>Offline context-size bench</x:v>
      </x:c>
      <x:c r="C46" s="40" t="str">
        <x:v>OPEN</x:v>
      </x:c>
      <x:c r="D46" s="40" t="str">
        <x:v>Парковка OPS / без автомержа</x:v>
      </x:c>
      <x:c r="E46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46" s="40" t="str">
        <x:v>https://github.com/anpavel84-afk/gobadminton-clean/pull/298</x:v>
      </x:c>
    </x:row>
    <x:row r="47" ht="42" customHeight="1">
      <x:c r="A47" s="40" t="n">
        <x:v>311</x:v>
      </x:c>
      <x:c r="B47" s="40" t="str">
        <x:v>Кандидат #310 canary</x:v>
      </x:c>
      <x:c r="C47" s="40" t="str">
        <x:v>OPEN</x:v>
      </x:c>
      <x:c r="D47" s="40" t="str">
        <x:v>Кандидат на архив после delta-сверки</x:v>
      </x:c>
      <x:c r="E47" s="40" t="str">
        <x:v>Canary завершён преемником PR314.</x:v>
      </x:c>
      <x:c r="F47" s="40" t="str">
        <x:v>https://github.com/anpavel84-afk/gobadminton-clean/pull/311</x:v>
      </x:c>
    </x:row>
    <x:row r="48" ht="52" customHeight="1">
      <x:c r="A48" s="40" t="n">
        <x:v>320</x:v>
      </x:c>
      <x:c r="B48" s="40" t="str">
        <x:v>Proportionate testing draft review</x:v>
      </x:c>
      <x:c r="C48" s="40" t="str">
        <x:v>OPEN</x:v>
      </x:c>
      <x:c r="D48" s="40" t="str">
        <x:v>Историческая политика / proposal</x:v>
      </x:c>
      <x:c r="E48" s="40" t="str">
        <x:v>Не является текущим автономным admission. Сохранить историю/принятые решения в каноне; убрать из next и стартового контекста.</x:v>
      </x:c>
      <x:c r="F48" s="40" t="str">
        <x:v>https://github.com/anpavel84-afk/gobadminton-clean/pull/320</x:v>
      </x:c>
    </x:row>
    <x:row r="49" ht="66" customHeight="1">
      <x:c r="A49" s="40" t="n">
        <x:v>335</x:v>
      </x:c>
      <x:c r="B49" s="40" t="str">
        <x:v>P1b test-plan runtime gate</x:v>
      </x:c>
      <x:c r="C49" s="40" t="str">
        <x:v>OPEN</x:v>
      </x:c>
      <x:c r="D49" s="40" t="str">
        <x:v>Парковка OPS / без автомержа</x:v>
      </x:c>
      <x:c r="E49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49" s="40" t="str">
        <x:v>https://github.com/anpavel84-afk/gobadminton-clean/pull/335</x:v>
      </x:c>
    </x:row>
    <x:row r="50" ht="66" customHeight="1">
      <x:c r="A50" s="40" t="n">
        <x:v>339</x:v>
      </x:c>
      <x:c r="B50" s="40" t="str">
        <x:v>Pre-claim / recovery validation</x:v>
      </x:c>
      <x:c r="C50" s="40" t="str">
        <x:v>OPEN</x:v>
      </x:c>
      <x:c r="D50" s="40" t="str">
        <x:v>Парковка OPS / без автомержа</x:v>
      </x:c>
      <x:c r="E50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50" s="40" t="str">
        <x:v>https://github.com/anpavel84-afk/gobadminton-clean/pull/339</x:v>
      </x:c>
    </x:row>
    <x:row r="51" ht="52" customHeight="1">
      <x:c r="A51" s="40" t="n">
        <x:v>344</x:v>
      </x:c>
      <x:c r="B51" s="40" t="str">
        <x:v>Кандидат временного smoke #342</x:v>
      </x:c>
      <x:c r="C51" s="40" t="str">
        <x:v>OPEN</x:v>
      </x:c>
      <x:c r="D51" s="40" t="str">
        <x:v>Проверить только остаточные эффекты</x:v>
      </x:c>
      <x:c r="E51" s="40" t="str">
        <x:v>Временный smoke/cleanup. Проверить живой source/runtime; не выполнять снова модельный canary и не очищать UNKNOWN.</x:v>
      </x:c>
      <x:c r="F51" s="40" t="str">
        <x:v>https://github.com/anpavel84-afk/gobadminton-clean/pull/344</x:v>
      </x:c>
    </x:row>
    <x:row r="52" ht="52" customHeight="1">
      <x:c r="A52" s="40" t="n">
        <x:v>348</x:v>
      </x:c>
      <x:c r="B52" s="40" t="str">
        <x:v>Кандидат cleanup #346</x:v>
      </x:c>
      <x:c r="C52" s="40" t="str">
        <x:v>OPEN</x:v>
      </x:c>
      <x:c r="D52" s="40" t="str">
        <x:v>Проверить только остаточные эффекты</x:v>
      </x:c>
      <x:c r="E52" s="40" t="str">
        <x:v>Временный smoke/cleanup. Проверить живой source/runtime; не выполнять снова модельный canary и не очищать UNKNOWN.</x:v>
      </x:c>
      <x:c r="F52" s="40" t="str">
        <x:v>https://github.com/anpavel84-afk/gobadminton-clean/pull/348</x:v>
      </x:c>
    </x:row>
    <x:row r="53" ht="66" customHeight="1">
      <x:c r="A53" s="40" t="n">
        <x:v>350</x:v>
      </x:c>
      <x:c r="B53" s="40" t="str">
        <x:v>Routing opt-in guard</x:v>
      </x:c>
      <x:c r="C53" s="40" t="str">
        <x:v>OPEN</x:v>
      </x:c>
      <x:c r="D53" s="40" t="str">
        <x:v>Парковка OPS / без автомержа</x:v>
      </x:c>
      <x:c r="E53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53" s="40" t="str">
        <x:v>https://github.com/anpavel84-afk/gobadminton-clean/pull/350</x:v>
      </x:c>
    </x:row>
    <x:row r="54" ht="66" customHeight="1">
      <x:c r="A54" s="40" t="n">
        <x:v>351</x:v>
      </x:c>
      <x:c r="B54" s="40" t="str">
        <x:v>Pre-author CI refresh</x:v>
      </x:c>
      <x:c r="C54" s="40" t="str">
        <x:v>OPEN</x:v>
      </x:c>
      <x:c r="D54" s="40" t="str">
        <x:v>Парковка OPS / без автомержа</x:v>
      </x:c>
      <x:c r="E54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54" s="40" t="str">
        <x:v>https://github.com/anpavel84-afk/gobadminton-clean/pull/351</x:v>
      </x:c>
    </x:row>
    <x:row r="55" ht="66" customHeight="1">
      <x:c r="A55" s="40" t="n">
        <x:v>352</x:v>
      </x:c>
      <x:c r="B55" s="40" t="str">
        <x:v>Authenticated PARK/RESUME</x:v>
      </x:c>
      <x:c r="C55" s="40" t="str">
        <x:v>OPEN</x:v>
      </x:c>
      <x:c r="D55" s="40" t="str">
        <x:v>Парковка OPS / без автомержа</x:v>
      </x:c>
      <x:c r="E55" s="40" t="str">
        <x:v>Незавершённый технический кандидат. Не обязанность текущего продукта; нужна актуальная scope/runtime-сверка перед возможным возобновлением.</x:v>
      </x:c>
      <x:c r="F55" s="40" t="str">
        <x:v>https://github.com/anpavel84-afk/gobadminton-clean/pull/352</x:v>
      </x:c>
    </x:row>
    <x:row r="56" ht="42" customHeight="1">
      <x:c r="A56" s="40" t="n">
        <x:v>361</x:v>
      </x:c>
      <x:c r="B56" s="40" t="str">
        <x:v>Старый AGY QA recovery</x:v>
      </x:c>
      <x:c r="C56" s="40" t="str">
        <x:v>OPEN</x:v>
      </x:c>
      <x:c r="D56" s="40" t="str">
        <x:v>Кандидат на архив после delta-сверки</x:v>
      </x:c>
      <x:c r="E56" s="40" t="str">
        <x:v>QA-completion исправлялся в PR374/376; сверить только точный невошедший остаток.</x:v>
      </x:c>
      <x:c r="F56" s="40" t="str">
        <x:v>https://github.com/anpavel84-afk/gobadminton-clean/pull/361</x:v>
      </x:c>
    </x:row>
    <x:row r="57" ht="66" customHeight="1">
      <x:c r="A57" s="40" t="n">
        <x:v>393</x:v>
      </x:c>
      <x:c r="B57" s="40" t="str">
        <x:v>Сохранение Author-диагностики при CLI FAIL</x:v>
      </x:c>
      <x:c r="C57" s="40" t="str">
        <x:v>OPEN</x:v>
      </x:c>
      <x:c r="D57" s="40" t="str">
        <x:v>Парковка актуального OPS-кандидата</x:v>
      </x:c>
      <x:c r="E57" s="40" t="str">
        <x:v>Непринятая runtime поставка диагностики AGY. Не называть DONE; не блокировать #386 и продукт. При возвращении сверить current source, QA/CI/installed.</x:v>
      </x:c>
      <x:c r="F57" s="40" t="str">
        <x:v>https://github.com/anpavel84-afk/gobadminton-clean/pull/393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621e24b21a1d4af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80" hidden="0" customWidth="1"/>
  </x:cols>
  <x:sheetData>
    <x:row r="1" ht="24" customHeight="1">
      <x:c r="A1" s="28" t="str">
        <x:v>Как убрать тупики из активного контекста</x:v>
      </x:c>
      <x:c r="B1" s="28"/>
      <x:c r="C1" s="28"/>
    </x:row>
    <x:row r="2" ht="24" customHeight="1">
      <x:c r="A2" s="28"/>
      <x:c r="B2" s="28"/>
      <x:c r="C2" s="28"/>
    </x:row>
    <x:row r="3" ht="34" customHeight="1">
      <x:c r="A3" s="33" t="str">
        <x:v>План будущей чистки. Закрытия, labels, Project-поля, admissions и runtime не изменялись этим аудитом.</x:v>
      </x:c>
      <x:c r="B3" s="33"/>
      <x:c r="C3" s="33"/>
    </x:row>
    <x:row r="5" ht="30" customHeight="1">
      <x:c r="A5" s="44" t="str">
        <x:v>Шаг</x:v>
      </x:c>
      <x:c r="B5" s="44" t="str">
        <x:v>Правило</x:v>
      </x:c>
      <x:c r="C5" s="44" t="str">
        <x:v>Что сделать</x:v>
      </x:c>
    </x:row>
    <x:row r="6" ht="42" customHeight="1">
      <x:c r="A6" s="40" t="str">
        <x:v>1</x:v>
      </x:c>
      <x:c r="B6" s="40" t="str">
        <x:v>Один действующий носитель</x:v>
      </x:c>
      <x:c r="C6" s="40" t="str">
        <x:v>Для каждого требования оставить одну canonical Issue; старые карточки получают ссылку superseded_by/merged_into, без копирования полных старых заданий.</x:v>
      </x:c>
    </x:row>
    <x:row r="7" ht="42" customHeight="1">
      <x:c r="A7" s="40" t="str">
        <x:v>2</x:v>
      </x:c>
      <x:c r="B7" s="40" t="str">
        <x:v>Сужать, а не переписывать</x:v>
      </x:c>
      <x:c r="C7" s="40" t="str">
        <x:v>В активном описании хранить только актуальный остаток. Принятые срезы перечислить кратко со ссылкой на evidence.</x:v>
      </x:c>
    </x:row>
    <x:row r="8" ht="42" customHeight="1">
      <x:c r="A8" s="40" t="str">
        <x:v>3</x:v>
      </x:c>
      <x:c r="B8" s="40" t="str">
        <x:v>Не путать статусы</x:v>
      </x:c>
      <x:c r="C8" s="40" t="str">
        <x:v>Отдельно отмечать source merged, DEV enabled/accepted, PROD delivered и Owner UAT. Закрытие технической карточки не закрывает parent.</x:v>
      </x:c>
    </x:row>
    <x:row r="9" ht="42" customHeight="1">
      <x:c r="A9" s="40" t="str">
        <x:v>4</x:v>
      </x:c>
      <x:c r="B9" s="40" t="str">
        <x:v>Убирать из active</x:v>
      </x:c>
      <x:c r="C9" s="40" t="str">
        <x:v>Выведенные карточки/PR исключить из Project active view, next-task selection и новых handoff/bootstrap; использовать существующие поля/labels.</x:v>
      </x:c>
    </x:row>
    <x:row r="10" ht="42" customHeight="1">
      <x:c r="A10" s="40" t="str">
        <x:v>5</x:v>
      </x:c>
      <x:c r="B10" s="40" t="str">
        <x:v>История остаётся</x:v>
      </x:c>
      <x:c r="C10" s="40" t="str">
        <x:v>Сохранить Git commits, исходные требования, ссылки, результаты QA/FAIL, расходы и receipts. Не удалять canonical Postgame-модель вместе с черновиками.</x:v>
      </x:c>
    </x:row>
    <x:row r="11" ht="42" customHeight="1">
      <x:c r="A11" s="40" t="str">
        <x:v>6</x:v>
      </x:c>
      <x:c r="B11" s="40" t="str">
        <x:v>Не оживлять автоматически</x:v>
      </x:c>
      <x:c r="C11" s="40" t="str">
        <x:v>Открытый старый PR или найденный архивный README не является командой исполнения. Возобновление — явное решение по текущему объёму.</x:v>
      </x:c>
    </x:row>
    <x:row r="12" ht="42" customHeight="1">
      <x:c r="A12" s="40" t="str">
        <x:v>7</x:v>
      </x:c>
      <x:c r="B12" s="40" t="str">
        <x:v>Защитить UNKNOWN</x:v>
      </x:c>
      <x:c r="C12" s="40" t="str">
        <x:v>Не сбрасывать pending/UNKNOWN, счётчики попыток или paid operations ради чистоты доски. При необходимости reconcile по фактическим результатам.</x:v>
      </x:c>
    </x:row>
    <x:row r="13" ht="42" customHeight="1">
      <x:c r="A13" s="40" t="str">
        <x:v>8</x:v>
      </x:c>
      <x:c r="B13" s="40" t="str">
        <x:v>Не делать новую систему</x:v>
      </x:c>
      <x:c r="C13" s="40" t="str">
        <x:v>Никакого второго реестра, scheduler или очереди. Этот файл — аудит/план чистки, GitHub Project/Issues остаются рабочим источником.</x:v>
      </x:c>
    </x:row>
    <x:row r="14" ht="42" customHeight="1">
      <x:c r="A14" s="40" t="str">
        <x:v>9</x:v>
      </x:c>
      <x:c r="B14" s="40" t="str">
        <x:v>Холодный roadmap отдельно</x:v>
      </x:c>
      <x:c r="C14" s="40" t="str">
        <x:v>Future/post-MVP/OPS-parking не загружать каждому автору; передавать только при явной задаче по этому направлению.</x:v>
      </x:c>
    </x:row>
    <x:row r="15" ht="42" customHeight="1">
      <x:c r="A15" s="40" t="str">
        <x:v>10</x:v>
      </x:c>
      <x:c r="B15" s="40" t="str">
        <x:v>Проверка очистки</x:v>
      </x:c>
      <x:c r="C15" s="40" t="str">
        <x:v>После будущей чистки список next не содержит архив/дубликаты; активные ссылки ведут на текущий scope; сумма карточек сходится; история доступна только по запросу.</x:v>
      </x:c>
    </x:row>
    <x:row r="16" ht="42" customHeight="1">
      <x:c r="A16" s="40" t="str">
        <x:v>11</x:v>
      </x:c>
      <x:c r="B16" s="40" t="str">
        <x:v>Возврат дефекта</x:v>
      </x:c>
      <x:c r="C16" s="40" t="str">
        <x:v>Новую регрессию описывать конкретным сценарием и текущим SHA; ссылаться на историю, но не повторять старую реализацию целиком.</x:v>
      </x:c>
    </x:row>
    <x:row r="17" ht="42" customHeight="1">
      <x:c r="A17" s="40" t="str">
        <x:v>12</x:v>
      </x:c>
      <x:c r="B17" s="40" t="str">
        <x:v>Нет обещания удалить прошлое</x:v>
      </x:c>
      <x:c r="C17" s="40" t="str">
        <x:v>Старые чаты и Git-история останутся. Цель — исключить тупики из будущего активного контекста и автоматического исполнения, не стереть доказательства.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1151c861975e4cd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24" customHeight="1">
      <x:c r="A1" s="28" t="str">
        <x:v>Границы и доказательства аудита</x:v>
      </x:c>
      <x:c r="B1" s="28"/>
    </x:row>
    <x:row r="2" ht="24" customHeight="1">
      <x:c r="A2" s="28"/>
      <x:c r="B2" s="28"/>
    </x:row>
    <x:row r="3" ht="34" customHeight="1">
      <x:c r="A3" s="33" t="str">
        <x:v>Ни один процент готовности продукта не вычисляется из числа Issue, PR и старых GB-записей.</x:v>
      </x:c>
      <x:c r="B3" s="33"/>
    </x:row>
    <x:row r="5" ht="30" customHeight="1">
      <x:c r="A5" s="44" t="str">
        <x:v>Область</x:v>
      </x:c>
      <x:c r="B5" s="44" t="str">
        <x:v>Содержание</x:v>
      </x:c>
    </x:row>
    <x:row r="6" ht="42" customHeight="1">
      <x:c r="A6" s="40" t="str">
        <x:v>Статус отчёта</x:v>
      </x:c>
      <x:c r="B6" s="40" t="str">
        <x:v>Рекомендация по актуальности, не выполненная чистка. Issues/PR/Project, admissions, runtime и данные не изменены.</x:v>
      </x:c>
    </x:row>
    <x:row r="7" ht="42" customHeight="1">
      <x:c r="A7" s="40" t="str">
        <x:v>Временная граница</x:v>
      </x:c>
      <x:c r="B7" s="40" t="str">
        <x:v>1 ноября 2026, snapshot 22:45 UTC; DEV 1dc5000280d617c3160fc959ee87607db394410c, PROD 26f3ba38d9c04730674b084c0266afc193662398.</x:v>
      </x:c>
    </x:row>
    <x:row r="8" ht="42" customHeight="1">
      <x:c r="A8" s="40" t="str">
        <x:v>Проверка поставок</x:v>
      </x:c>
      <x:c r="B8" s="40" t="str">
        <x:v>Проверено Git ancestry: 269 merged PR являются предками установленного DEV. Это не равнозначно активированным feature flags и не Owner E2E.</x:v>
      </x:c>
    </x:row>
    <x:row r="9" ht="42" customHeight="1">
      <x:c r="A9" s="40" t="str">
        <x:v>Единица счёта</x:v>
      </x:c>
      <x:c r="B9" s="40" t="str">
        <x:v>124 CLEAN Issue + 142 исторических GB + 33 позиции среза22.10 + 52 OPEN PR пересекаются. Складывать их в число уникальных функций или считать процент готовности нельзя.</x:v>
      </x:c>
    </x:row>
    <x:row r="10" ht="42" customHeight="1">
      <x:c r="A10" s="40" t="str">
        <x:v>60 технически выпущенных</x:v>
      </x:c>
      <x:c r="B10" s="40" t="str">
        <x:v>Это предлагаемые судьбы карточек исходного объёма, не 60 уникальных пользовательских функций и не финальная приёмка каждого сценария.</x:v>
      </x:c>
    </x:row>
    <x:row r="11" ht="42" customHeight="1">
      <x:c r="A11" s="40" t="str">
        <x:v>Носители актуального контекста</x:v>
      </x:c>
      <x:c r="B11" s="40" t="str">
        <x:v>#372, #373, #386, #394, #422 + #406/#442/#445/#450 + #175. Новые roadmap-направления не авто-admission.</x:v>
      </x:c>
    </x:row>
    <x:row r="12" ht="42" customHeight="1">
      <x:c r="A12" s="40" t="str">
        <x:v>Приватность / ожидаемые отказы</x:v>
      </x:c>
      <x:c r="B12" s="40" t="str">
        <x:v>Не трактовать synthetic bio 'directory off' как реальный opt-out. Неучастник game-chat404 и отсутствие trainer-profile404 могут быть ожидаемы. Проверять разрешённую роль и UI, а не только Network.</x:v>
      </x:c>
    </x:row>
    <x:row r="13" ht="42" customHeight="1">
      <x:c r="A13" s="40" t="str">
        <x:v>Сохранённый PG3</x:v>
      </x:c>
      <x:c r="B13" s="40" t="str">
        <x:v>Ветка owner/postgame372-feedback-20261101, candidate4c020d88d66e3d618f2fe8d31ae27a416eaefa41. Последний найденный pass7 импортирован; окончательный выпуск отсутствует.</x:v>
      </x:c>
    </x:row>
    <x:row r="14" ht="42" customHeight="1">
      <x:c r="A14" s="40" t="str">
        <x:v>Непереносимость старых статусов</x:v>
      </x:c>
      <x:c r="B14" s="40" t="str">
        <x:v>NOT_READY/FAIL/потраченные попытки из старых поколений сохраняются в истории, не переносятся на новую задачу автоматически и не стираются.</x:v>
      </x:c>
    </x:row>
    <x:row r="15" ht="42" customHeight="1">
      <x:c r="A15" s="40" t="str">
        <x:v>Конфиденциальность</x:v>
      </x:c>
      <x:c r="B15" s="40" t="str">
        <x:v>Пароли, токены, email пользователей и содержимое приватных переписок не включены.</x:v>
      </x:c>
    </x:row>
    <x:row r="16" ht="42" customHeight="1">
      <x:c r="A16" s="40" t="str">
        <x:v>Границы проверки</x:v>
      </x:c>
      <x:c r="B16" s="40" t="str">
        <x:v>Аудит читает GitHub, исходники, существующие receipts/claims и агрегаты базы. Авторизованный браузерный E2E в этой проверке не выполнялся.</x:v>
      </x:c>
    </x:row>
    <x:row r="17" ht="42" customHeight="1">
      <x:c r="A17" s="40" t="str">
        <x:v>Имена задач</x:v>
      </x:c>
      <x:c r="B17" s="40" t="str">
        <x:v>На листе CLEAN названия кратко нормализованы для чтения. Канонический текст всегда по URL Issue.</x:v>
      </x:c>
    </x:row>
    <x:row r="18" ht="58" customHeight="1">
      <x:c r="A18" s="64" t="str">
        <x:v>Как использовать файл</x:v>
      </x:c>
      <x:c r="B18" s="64" t="str">
        <x:v>Полная матрица — для ревизии/архива. В рабочий PMA-контекст передавать только текущий остаток с листа «Актуальное», а не все 124+142 строки. Иначе архив вернётся в активный контекст.</x:v>
      </x:c>
    </x:row>
  </x:sheetData>
  <x:mergeCells>
    <x:mergeCell ref="A1:B2"/>
    <x:mergeCell ref="A3:B3"/>
  </x:mergeCells>
  <x:pageMargins left="0.7" right="0.7" top="0.75" bottom="0.75" header="0.3" footer="0.3"/>
  <x:tableParts count="1">
    <x:tablePart xmlns:r="http://schemas.openxmlformats.org/officeDocument/2006/relationships" r:id="R72cede7521484cad"/>
  </x:tableParts>
</x:worksheet>
</file>